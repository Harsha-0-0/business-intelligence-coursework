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shi/Documents/Autumn 2026/BI/Ass 2 - Data Storytelling/"/>
    </mc:Choice>
  </mc:AlternateContent>
  <xr:revisionPtr revIDLastSave="0" documentId="13_ncr:1_{A28F6706-CD6F-F846-8B41-7DA7414A13E7}" xr6:coauthVersionLast="47" xr6:coauthVersionMax="47" xr10:uidLastSave="{00000000-0000-0000-0000-000000000000}"/>
  <bookViews>
    <workbookView xWindow="0" yWindow="660" windowWidth="29400" windowHeight="18460" activeTab="4" xr2:uid="{B2CDD6F7-E0C0-3C4A-B923-6E418BA2FBCB}"/>
  </bookViews>
  <sheets>
    <sheet name="Chart 1" sheetId="7" r:id="rId1"/>
    <sheet name="Chart 3" sheetId="8" r:id="rId2"/>
    <sheet name="Chart 4" sheetId="9" r:id="rId3"/>
    <sheet name="Summary table, chart 2" sheetId="6" r:id="rId4"/>
    <sheet name="Sheet10" sheetId="10" r:id="rId5"/>
    <sheet name="Dataset" sheetId="1" r:id="rId6"/>
  </sheets>
  <calcPr calcId="181029"/>
  <pivotCaches>
    <pivotCache cacheId="4" r:id="rId7"/>
    <pivotCache cacheId="9" r:id="rId8"/>
    <pivotCache cacheId="1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</calcChain>
</file>

<file path=xl/sharedStrings.xml><?xml version="1.0" encoding="utf-8"?>
<sst xmlns="http://schemas.openxmlformats.org/spreadsheetml/2006/main" count="556" uniqueCount="413">
  <si>
    <t>Name</t>
  </si>
  <si>
    <t>Year</t>
  </si>
  <si>
    <t>Rating</t>
  </si>
  <si>
    <t>Watchers</t>
  </si>
  <si>
    <t>Episodes</t>
  </si>
  <si>
    <t>Ep. Duration</t>
  </si>
  <si>
    <t>Aired On</t>
  </si>
  <si>
    <t>Genres</t>
  </si>
  <si>
    <t>Tags</t>
  </si>
  <si>
    <t>Main Actors</t>
  </si>
  <si>
    <t>Goblin</t>
  </si>
  <si>
    <t>Friday, Saturday</t>
  </si>
  <si>
    <t>Comedy,Romance,Fantasy,Melodrama</t>
  </si>
  <si>
    <t>Older Man/Younger Woman,Interspecies Romance,Dokkaebi,Fate,Bromance,Death,Tearjerker,Supernatural,Age Gap,Secondary Couple</t>
  </si>
  <si>
    <t>Gong Yoo,Kim Go Eun,Lee Dong Wook,Yoo In Na,Yook Sung Jae</t>
  </si>
  <si>
    <t>Strong Woman Do Bong Soon</t>
  </si>
  <si>
    <t>Action,Comedy,Romance,Supernatural</t>
  </si>
  <si>
    <t>Superhuman Strenght,Love Triangle,Nice Male Lead,Father-Daughter Relationship,Rich Male Lead,Badass Female Lead,Bromance</t>
  </si>
  <si>
    <t>Park Bo Young,Park Hyung Sik,Kim Ji Soo</t>
  </si>
  <si>
    <t>It's Okay to Not Be Okay</t>
  </si>
  <si>
    <t>Saturday, Sunday</t>
  </si>
  <si>
    <t>Psychological,Comedy,Romance,Drama</t>
  </si>
  <si>
    <t>Independent Female Lead,Possessive Female Lead,Successful Female Lead,Healing,Melodrama,Selfless Male Lead,Badass Female Lead,Childhood Connection,Trauma,Mental Illness</t>
  </si>
  <si>
    <t>Kim Soo Hyun,Seo Yea Ji,Oh Jung Se</t>
  </si>
  <si>
    <t>Descendants of the Sun</t>
  </si>
  <si>
    <t>Wednesday, Thursday</t>
  </si>
  <si>
    <t>Military,Bromance,Multiple Couples,Hardworking Male Lead,Medical,Gun Violence,Harworking Female Lead,Father-Daughter Relationship,Friendship,Filmed Abroad</t>
  </si>
  <si>
    <t>Song Joong Ki,Song Hye Kyo,Jin Goo,Kim Ji Won</t>
  </si>
  <si>
    <t>What's Wrong with Secretary Kim</t>
  </si>
  <si>
    <t>Business,Comedy,Romance</t>
  </si>
  <si>
    <t>Boss-Employee Relationship,Rich Male Lead,Adapted From A Webtoon,Male Chases Female First,Calm Female Lead,Smart Female Lead,Trauma,Phobia,Narcissistic Male Lead,First Love</t>
  </si>
  <si>
    <t>Park Min Young,Park Seo Joon</t>
  </si>
  <si>
    <t>Weightlifting Fairy Kim Bok Joo</t>
  </si>
  <si>
    <t>Comedy,Romance,Life,Sports</t>
  </si>
  <si>
    <t>Friends To Lovers,Weightlifting,Healing,First Love,Bantering Relationship,Male Chases Female First,Swimmingm Slow Burn Romance,Sismance,Healthy Mains' Relationship</t>
  </si>
  <si>
    <t>Lee Sung Kyung,Nam Joo Hyuk,Lee Jae Yoon,Kyung Soo Jin</t>
  </si>
  <si>
    <t>Crash Landing on You</t>
  </si>
  <si>
    <t>Sunday, Saturday</t>
  </si>
  <si>
    <t>Military,Comedy,Romance,Political</t>
  </si>
  <si>
    <t>North and South Korea,Soldier Male Lead,Army,Rich Female Lead,Soldier Supporting Character,Intercountry Romance,Fate,Nice Male Lead,Army Captain Male Lead,Calm Male Lead</t>
  </si>
  <si>
    <t>Hyun Bin,Son Ye Jin,Seo Ji Hye,Kim Jung Hyun</t>
  </si>
  <si>
    <t>W</t>
  </si>
  <si>
    <t>Thriller,Comedy,Romance,Fantasy</t>
  </si>
  <si>
    <t>Crossworlds Traveler,Attempted Murder,Rich Male Lead,Lovers Separeted,Character Development,Murder,Gun Violence,Revenge,Smart Male Lead,Violence</t>
  </si>
  <si>
    <t>Han Hyo Joo,Lee Jong Suk</t>
  </si>
  <si>
    <t>Hotel del Luna</t>
  </si>
  <si>
    <t>Horror,Comedy,Romance,Fantasy</t>
  </si>
  <si>
    <t>Supernatural,Boss-Employee Relationship,Ghost,Ghost-seeing Male Lead,Death,Smart Female Lead,Nice Male Lead,Flashback To Past,Warm Man/Cold Woman</t>
  </si>
  <si>
    <t>IU,Yeo Jin Goo</t>
  </si>
  <si>
    <t>Business Proposal</t>
  </si>
  <si>
    <t>Monday, Tuesday</t>
  </si>
  <si>
    <t>Comedy,Romance,Drama</t>
  </si>
  <si>
    <t>Boss-Employee Relationship,Secondary Couple,Contract Relationship,Fake Identity,CEO Male Lead,Double Identity,Sismance,Rich Male Lead,Cheerful Female Lead,Rich Man/Poor Woman</t>
  </si>
  <si>
    <t>Ahn Hyo Seop,Kim Se Jeong,Kim Min Gue,Seol In Ah</t>
  </si>
  <si>
    <t>While You Were Sleeping</t>
  </si>
  <si>
    <t>Mystery,Romance,Drama,Supernatural</t>
  </si>
  <si>
    <t>Precognition,Murder,Nice Male Lead,First Love,Investigation,Cheerful Male Lead,Smart Male Lead,Eccentric Female Lead,Comedy,Fated Love</t>
  </si>
  <si>
    <t>Bae Suzy,Lee Jong Suk,Lee Sang Yeob,Jung Hae In</t>
  </si>
  <si>
    <t>Vincenzo</t>
  </si>
  <si>
    <t>Comedy,Law,Crime,Drama</t>
  </si>
  <si>
    <t>Mafia,Revenge,Slight Romance,Eccentric Female Lead,Smart Male Lead,Injustice,Black Comedy,Badass Male Lead,Skilled Killer,Corruption</t>
  </si>
  <si>
    <t>Song Joong Ki,Jeon Yeo Been,Ok Taec Yeon</t>
  </si>
  <si>
    <t>Boys Over Flowers</t>
  </si>
  <si>
    <t>Comedy,Romance,Youth,Drama</t>
  </si>
  <si>
    <t>Rich Man/Poor Woman,School Bullying,Love Triangle,Mean Male Lead,Possessive Male Lead,Adapted From A Manga,Reverse-Harem,High School,Disapproving Parent,Male Chases Female First</t>
  </si>
  <si>
    <t>Gu Hye Seon,Lee Min Ho,Kim Hyun Joong,Kim Bum,Kim Joon</t>
  </si>
  <si>
    <t>The Heirs</t>
  </si>
  <si>
    <t>Comedy,Romance,Drama,Melodrama</t>
  </si>
  <si>
    <t>High School,Family Pressure,Love Triangle,School Bullying,Rich Male Lead,Rich Man/Poor Woman,Male Chases Female First,Poor Female Lead,Controlling Parent,Sibling Rivalry</t>
  </si>
  <si>
    <t>Lee Min Ho,Park Shin Hye,Kim Woo Bin</t>
  </si>
  <si>
    <t>My Love from the Star</t>
  </si>
  <si>
    <t>Comedy,Romance,Drama,Supernatural</t>
  </si>
  <si>
    <t>Interspecies Romance,Sassy Female Lead,Time Manipulation,Superhuman Strength,Star Crossed Lovers,Smart Male Lead,Airhead Female Lead,Rich Male Lead,Spoiled Female Lead,Opposites Attract</t>
  </si>
  <si>
    <t>Kim Soo Hyun,Jun Ji Hyun,Park Hae Jin,Yoo In Na</t>
  </si>
  <si>
    <t>True Beauty</t>
  </si>
  <si>
    <t>Makeover,Beauty,Popular Male Lead,High School,Adapted From A Webtoon,Beauty Standards,Hidden Identity,Nice Female Lead,Transformation,Secret Crush</t>
  </si>
  <si>
    <t>Mun Ka Young,Cha Eun Woo,Hwang In Youp</t>
  </si>
  <si>
    <t>Healer</t>
  </si>
  <si>
    <t>Action,Thriller,Mystery,Romance</t>
  </si>
  <si>
    <t>Double Identity,Hidden Identity,Smart Male Lead,Badass Male Lead,Hardworking Female Lead,Childish Female Lead,Trauma,Sassy Female Lead,Death,Corruption</t>
  </si>
  <si>
    <t>Ji Chang Wook,Park Min Young,Yoo Ji Tae</t>
  </si>
  <si>
    <t>Squid Game</t>
  </si>
  <si>
    <t>Friday</t>
  </si>
  <si>
    <t>Action,Thriller,Mystery,Drama</t>
  </si>
  <si>
    <t>Death,Death Game,Poor Male Lead,Debt,Competition,Survival,Murder,Suspense,Friends To Enemies,Massacre</t>
  </si>
  <si>
    <t>Lee Jung Jae,Park Hae Soo,Jung Ho Yeon,Wi Ha Joon</t>
  </si>
  <si>
    <t>Moon Lovers: Scarlet Heart Ryeo</t>
  </si>
  <si>
    <t>Historical,Romance,Fantasy,Melodrama</t>
  </si>
  <si>
    <t>Goryeo Dynasty,Rivalry,Smart Male Lead,Love/Hate Relationship,Power Struggle,Jealousy,Possessive Male Lead,Secret Relationship,Sibling Rivalry,First Love</t>
  </si>
  <si>
    <t>Lee Joon Gi,IU,Kang Ha Neul</t>
  </si>
  <si>
    <t>Flower of Evil</t>
  </si>
  <si>
    <t>Thriller,Romance,Crime,Melodrama</t>
  </si>
  <si>
    <t>Detective Female Lead,Psychological,Family Secret,Mystery,Suspense,Hidden Personality,Antisocial Personality Disorder,Investigation,Detective Fiction,Smart Female Lead</t>
  </si>
  <si>
    <t>Lee Jon Gi,Moon Chae Won,Jang Hee Jin,Seo Hyun Woo</t>
  </si>
  <si>
    <t>Pinocchio</t>
  </si>
  <si>
    <t>Thriller,Mystery,Comedy,Romance</t>
  </si>
  <si>
    <t>Hidden Identity,Double Identity,Journalism,Adopted Siblings Love,Cohabitation,Revenge,Wrongfully Accused,Bromance,Misunderstanding,Murder</t>
  </si>
  <si>
    <t>Lee Jong Suk,Park Shin Hye,Kim Young Kwang,Lee Yoo Bi,Jin Kyung</t>
  </si>
  <si>
    <t>Itaewon Class</t>
  </si>
  <si>
    <t>Business,Romance,Life,Drama</t>
  </si>
  <si>
    <t>Revenge,Time Skip,Smart Female Lead,Female Chases Male First,Badass Female Lead,Boss-Employee Relationship,Nice Male Lead,Adapted From A Webtoon,Love Triangle,Hardworking Male Lead</t>
  </si>
  <si>
    <t>Park Seo Joon,Kim Da Mi,Kwon Na Ra,Yoo Jae Myung</t>
  </si>
  <si>
    <t>The Legend of the Blue Sea</t>
  </si>
  <si>
    <t>Comedy,Romance,Drama,Fantasy</t>
  </si>
  <si>
    <t>Naive Female Lead,Interspecies Romance,Cohabitation,First Love,Greed,Eccentric Female Lead,Hidden Identity,Fated Love,Mother-Son Relationship,Rich Male Lead</t>
  </si>
  <si>
    <t>Jun Ji Hyun,Lee Min Ho</t>
  </si>
  <si>
    <t>I'm Not a Robot</t>
  </si>
  <si>
    <t>Comedy,Romance,Drama,Sci-Fi</t>
  </si>
  <si>
    <t>Haphephobia,Rich Male Lead,Robot,Eccentric Male Lead,Hardworking Female Lead,Double Identity,Healing,Sismance,Hidden Identity,Illness</t>
  </si>
  <si>
    <t>Yoo Seung Ho,Chae Soo Bin,Uhm Ki Joon</t>
  </si>
  <si>
    <t>Fight for My Way</t>
  </si>
  <si>
    <t>Business,Comedy,Romance,Sports</t>
  </si>
  <si>
    <t>Friends To Lovers,Badass Male Lead,Character Development,First Love,Secondary Couple,Poor Male Lead,Hardworking Male Lead,Life Lesson,Nice Male Lead,Childish Male Lead</t>
  </si>
  <si>
    <t>Park Seo Joon,Kim Ji Won,Ahn Jae Hong,Song Ha Yoon</t>
  </si>
  <si>
    <t>My ID is Gangnam Beauty</t>
  </si>
  <si>
    <t>Psychological,Romance,Youth,Drama</t>
  </si>
  <si>
    <t>Beauty Standards,Nice Female Lead,Male Chases Female First,Plastic Surgery,Nice Male Lead,Adapted From A Webtoon,School Bullying,Age Gap [Real Life],Friends To Lovers,Calm Male Lead</t>
  </si>
  <si>
    <t>Im Soo Hyang,Cha Eun Woo,Jo Woo Ri,Kwak Dong Yeon</t>
  </si>
  <si>
    <t>Her Private Life</t>
  </si>
  <si>
    <t>Business,Comedy,Romance,Drama</t>
  </si>
  <si>
    <t>Boss-Employee Relationship,Independent Female Lead,Orphan Male Lead,Smart Male Lead,Calm Male Lead,Sismance,Fan Culture,Eccentric Female Lead,Hidden Personality,Art</t>
  </si>
  <si>
    <t>Park Min Young,Kim Jae Wook</t>
  </si>
  <si>
    <t>Suspicious Partner</t>
  </si>
  <si>
    <t>Thriller,Comedy,Law,Romance</t>
  </si>
  <si>
    <t>Cohabitation,Nice Male Lead,Hardworking Female Lead,Smart Male Lead,Nice Female Lead,Wrongfully Accused,Poor Female Lead,Opposites Attract,Bromance,Boss-Employee Relationship</t>
  </si>
  <si>
    <t>Ji Chang Wook,Nam Ji Hyun,Choi Tae Joon,Kwon Na Ra</t>
  </si>
  <si>
    <t>Extraordinary You</t>
  </si>
  <si>
    <t>Comedy,Romance,Youth,Fantasy</t>
  </si>
  <si>
    <t>Sassy Female Lead,Nice Male Lead,Adapted From A Webtoon,High School,Illness,Height Difference,Love Triangle,Character Development,Amnesia,Multiple Mains</t>
  </si>
  <si>
    <t>Kim Hye Yoon,Ro Woon,Lee Jae Wook,Lee Na Eun,Kim Young Dae,Jung Gun Joo,Lee Tae Ri</t>
  </si>
  <si>
    <t>Hometown Cha-Cha-Cha</t>
  </si>
  <si>
    <t>Comedy,Romance,Life,Drama</t>
  </si>
  <si>
    <t>Nice Male Lead,Character Development,Nice Female Lead,Cheerful Male Lead,Hardworking Female Lead,Hardworking Male Lead,Opposites Attract,Confident Female Lead,Smart Female Lead,Healing</t>
  </si>
  <si>
    <t>Shin Min Ah,Kim Seon Ho,Lee Sang Yi</t>
  </si>
  <si>
    <t>Extraordinary Attorney Woo</t>
  </si>
  <si>
    <t>Law,Romance,Life,Drama</t>
  </si>
  <si>
    <t>Autistic Female Lead,Autism,Attorney Female Lead,Smart Female Lead,Workplace Setting,Nice Male Lead,Father-Daughter Relationship,Courtroom Setting,Single Mother/Father Supporting Character,Slow Burn Romance</t>
  </si>
  <si>
    <t>Park Eun Bin,Kang Tae Oh,Kang Ki Young</t>
  </si>
  <si>
    <t>Alchemy of Souls</t>
  </si>
  <si>
    <t>Action,Historical,Romance,Fantasy</t>
  </si>
  <si>
    <t>Transmigration,Master-Disciple Relationship,Hidden Identity,Supernatural,Body Swap,Elemental Power,Fake Identity,Comedy,Master-Servant Relationship,Flashback To Past</t>
  </si>
  <si>
    <t>Lee Jae Wook,Jung So Min</t>
  </si>
  <si>
    <t>Because This Is My First Life</t>
  </si>
  <si>
    <t>Contract Relationship,Marriage Of Convenience,Eccentric Male Lead,Multiple Couples,Multiple Mains,Cohabitation,Calm Male Lead,Sismance,Nerdy Male Lead,Healing</t>
  </si>
  <si>
    <t>Jung So Min,Lee Min Ki,Esom,Park Byung Eun,Kim Ga Eun,Kim Min Seok</t>
  </si>
  <si>
    <t>Love Alarm</t>
  </si>
  <si>
    <t>Thursday</t>
  </si>
  <si>
    <t>Male Chases Female First,Love Triangle,First Love,Trauma,Adapted From A Webtoon,Rich Male Lead,Heartbreak,Bromance,Rich Man/Poor Woman,Suicide</t>
  </si>
  <si>
    <t>Kim So Hyun,Jung Ga Ram,Song Kang</t>
  </si>
  <si>
    <t>Reply 1988</t>
  </si>
  <si>
    <t>Comedy,Romance,Life,Youth</t>
  </si>
  <si>
    <t>Nostalgia,Multiple Couples,Poor Family,Love Triangle,Friendship,High School,Mother-Son Relationship,Coming Of Age,Bromance,Poor Female Lead</t>
  </si>
  <si>
    <t>Lee Hye Ri,Go Kyung Pyo,Ryu Jun Yeol,Park Bo Gum,Lee Dong Hwi</t>
  </si>
  <si>
    <t>The K2</t>
  </si>
  <si>
    <t>Action,Thriller,Psychological,Romance</t>
  </si>
  <si>
    <t>Badass Male Lead,Political,Trauma,Power Struggle,Aggressive Male Lead,Naive Female Lead,Revenge,Suspense,Hardworking Male Lead,Birth Secret</t>
  </si>
  <si>
    <t>Ji Chang Wook,Im Yoon Ah,Song Yoon Ah,Jo Sung Ha</t>
  </si>
  <si>
    <t>Hospital Playlist</t>
  </si>
  <si>
    <t>Comedy,Life,Drama,Medical</t>
  </si>
  <si>
    <t>Friendship,Multiple Mains,Slow Romance,Multiple Couples,Healing,Bromance,Slight Romance,Smart Female Lead,Nice Male Lead,Music</t>
  </si>
  <si>
    <t>Jo Jung Suk,Yoo Yeon Seok,Jung Kyung Ho,Kim Dae Myung,Jeon Mi Do</t>
  </si>
  <si>
    <t>Sweet Home</t>
  </si>
  <si>
    <t>Action,Horror,Drama,Sci-Fi</t>
  </si>
  <si>
    <t>Monster,Survival,Character Development,Gore,Supernatural Phenomena,Trauma,Adapted From A Webtoon,Paranormal,Death,Nice Male Lead</t>
  </si>
  <si>
    <t>Song Kang,Lee Jin Wook,Lee Si Young,Lee Do Hyun,Kim Nam Hee,Go Min Si,Park Gyu Young,Go Youn Jung,Kim Gab Soo,Kim Sang Ho</t>
  </si>
  <si>
    <t>Romance Is a Bonus Book</t>
  </si>
  <si>
    <t>Business,Comedy,Romance,Melodrama</t>
  </si>
  <si>
    <t>Friends To Lovers,Cohabitation,Successful Male Lead,Smart Male Lead,Nice Male Lead,Slow Burn Romance,Older Woman/Younger Man,Secret Crush,Love Triangle,Boss-Employee Relationship</t>
  </si>
  <si>
    <t>Lee Na Young,Lee Jong Suk,Jung Eugene,Wi Ha Joon</t>
  </si>
  <si>
    <t>Kill Me, Heal Me</t>
  </si>
  <si>
    <t>Dissociative Identity Disorder,Trauma,Boss-Employee Relationship,Rich Male Lead,Nice Male Lead,Mean Male Lead,Rich Man/Poor Woman,Psychiatrist Female Lead,Doctor Female Lead,Doctor-Patient Relationship</t>
  </si>
  <si>
    <t>Ji Sung,Hwang Jung Eum,Park Seo Joon,Kim Yoo Ri,Oh Min Suk</t>
  </si>
  <si>
    <t>Cinderella and the Four Knights</t>
  </si>
  <si>
    <t>Cohabitation,Hardworking Female Lead,Reverse-Harem,Rich Male Lead,Rich Man/Poor Woman,Cold Man/Warm Woman,Multiple Mains,Forbidden Love,First Love,Adapted From A Manhwa</t>
  </si>
  <si>
    <t>Park So Dam,Jung Il Woo,Ahn Jae Hyun,Lee Jung Shin,Choi Shang,Son Na Eun</t>
  </si>
  <si>
    <t>She Was Pretty</t>
  </si>
  <si>
    <t>Misunderstanding,Makeover,Hardworking Female Lead,Character Development,Nice Female Lead,Mean Male Lead,Sassy Female Lead,Unrequited Love,First Love,Hidden Identity</t>
  </si>
  <si>
    <t>Hwang Jung Eum,Park Seo Joon,Go Joon Hee,Choi Si Won</t>
  </si>
  <si>
    <t>Doom at Your Service</t>
  </si>
  <si>
    <t>Terminal Illness,Illness,Brain Cancer,Supernatural Power,Hardworking Female Lead,Fate,Unlucky Female Lead,First Love,Glioblastoma,Eccentric Male Lead</t>
  </si>
  <si>
    <t>Park Bo Young,Seo In Guk,Lee Soo Hyuk,Kang Tae Oh,Shin Do Hyun</t>
  </si>
  <si>
    <t>Tale of the Nine-Tailed</t>
  </si>
  <si>
    <t>Thriller,Horror,Romance,Fantasy</t>
  </si>
  <si>
    <t>Nine-tailed Fox,Reincarnation,Supernatural,Sibling Rivalry,Fated Love,Bromance,Interspecies Romance,Mythical Being,Hardworking Female Lead,Smart Female Lead</t>
  </si>
  <si>
    <t>Lee Dong Wook,Jo Bo Ah,Kim Bum</t>
  </si>
  <si>
    <t>The Glory</t>
  </si>
  <si>
    <t>Thriller,Drama,Melodrama</t>
  </si>
  <si>
    <t>Revenge,School Bullying,School Violence,Sexual Content,Social Issues,Doctor Male Lead,Time Skip,Antiheroine Female Lead,Nonlinear Narrative,Teacher Female Lead</t>
  </si>
  <si>
    <t>Song Hye Kyo,Lee Do Hyun,Im Ji Yeon,Yeom Hye Ran,Park Sung Hoon,Jung Sung Il</t>
  </si>
  <si>
    <t>The King: Eternal Monarch</t>
  </si>
  <si>
    <t>Mystery,Romance,Drama,Sci-Fi</t>
  </si>
  <si>
    <t>Parallel Universe,Doppelganger,Male Lead Saves Female Lead,Royalty,Male Chases Female First,Murder,Monarchy,Treason,Rich Male Lead,Greed</t>
  </si>
  <si>
    <t>Lee Min Ho,Kim Go Eun,Woo Do Hwan,Lee Jung Jin,Kim Kyung Nam,Jung Eun Chae</t>
  </si>
  <si>
    <t>Twenty-Five Twenty-One</t>
  </si>
  <si>
    <t>Romance,Life,Drama,Melodrama</t>
  </si>
  <si>
    <t>Coming Of Age,Nostalgia,Fencing,Nice Male Lead,Friendship,Character Development,Competition,IMF Crisis,High School To Working Life,Reporter Male Lead</t>
  </si>
  <si>
    <t>Kim Tae Ri,Nam Joo Hyuk,Bona,Choi Hyun Wook,Lee Jo Myung</t>
  </si>
  <si>
    <t>Move To Heaven</t>
  </si>
  <si>
    <t>Life,Drama</t>
  </si>
  <si>
    <t>Uncle-Nephew Relationship,Autism,Death,Tearjerker,Savant Syndrome,Life Lesson,Asperger‚Äôs Syndrome,Autistic Male Lead,Smart Male Lead,Murder</t>
  </si>
  <si>
    <t>Lee Je Hoon,Tang Jun Sang,Hong Seung Hee</t>
  </si>
  <si>
    <t>Start-Up</t>
  </si>
  <si>
    <t>Business,Comedy,Romance,Youth</t>
  </si>
  <si>
    <t>Competition,Unrequited Love,Hardworking Male Lead,Hardworking Female Lead,Artificial Intelligence,Nice Female Lead,Love Triangle,Raised By Grandmother,Grandma-Granddaughter Relationship,Sibling Rivalry</t>
  </si>
  <si>
    <t>Bae Suzy,Nam Joo Hyuk,Kim Seon Ho,Kang Han Na</t>
  </si>
  <si>
    <t>Touch Your Heart</t>
  </si>
  <si>
    <t>Comedy,Law,Romance,Drama</t>
  </si>
  <si>
    <t>Hardworking Male Lead,Hardworking Female Lead,Nice Male Lead,Calm Male Lead,Opposites Attract,Smart Male Lead,Smart Female Lead,Naive Female Lead,Entertainment Industry,Successful Male Lead</t>
  </si>
  <si>
    <t>Lee Dong Wook,Yoo In Na,Lee Sang Woo,Son Sung Yoon</t>
  </si>
  <si>
    <t>My Name</t>
  </si>
  <si>
    <t>Action,Thriller,Mystery,Crime</t>
  </si>
  <si>
    <t>Criminal Organization,Badass Female Lead,Revenge,Murder,Trauma,Hidden Identity,Gang,Double Identity,Noir,Death</t>
  </si>
  <si>
    <t>Han So Hee,Park Hee Soon,Ahn Bo Hyun</t>
  </si>
  <si>
    <t>Hwarang</t>
  </si>
  <si>
    <t>Action,Historical,Comedy,Romance</t>
  </si>
  <si>
    <t>Hwarang,Bromance,Love Triangle,Identity Swap,Silla Dynasty,Competition,Jinheung,Nice Male Lead,Hardworking Male Lead,Death</t>
  </si>
  <si>
    <t>Park Seo Joon,Go A Ra,Park Hyung Sik</t>
  </si>
  <si>
    <t>The Uncanny Counter</t>
  </si>
  <si>
    <t>Action,Mystery,Drama,Supernatural</t>
  </si>
  <si>
    <t>Found Family,Righteous Male Lead,Evil Spirit,Teamwork,Orphan Male Lead,Multiple Mains,Spirit,Nice Male Lead,Hidden Identity,School Bullying</t>
  </si>
  <si>
    <t>Cho Byeong Kyu,Yoo Joon Sang,Kim Se Jeong,Yeom Hye Ran,Ahn Suk Hwan</t>
  </si>
  <si>
    <t>Cheese in the Trap</t>
  </si>
  <si>
    <t>Psychological,Romance,Life,Drama</t>
  </si>
  <si>
    <t>Adapted From A Webtoon,Rich Male Lead,Stalking,Enemies To Lovers,Cold Male Lead,Possessive Male Lead,Love Triangle,School Bullying,Smart Female Lead,Smart Male Lead</t>
  </si>
  <si>
    <t>Kim Go Eun,Park Hae Jin,Seo Kang Joon,Lee Sung Kyung</t>
  </si>
  <si>
    <t>Oh My Venus</t>
  </si>
  <si>
    <t>Comedy,Law,Romance,Life</t>
  </si>
  <si>
    <t>Weight Loss,Makeover,Cohabitation,Bromance,Rich Male Lead,Hidden Identity,Hardworking Male Lead,Hardworking Female Lead,Multiple Couples,Successful Male Lead</t>
  </si>
  <si>
    <t>So Ji Sub,Shin Min Ah,Jung Gyu Woon,Yoo In Young</t>
  </si>
  <si>
    <t>Our Beloved Summer</t>
  </si>
  <si>
    <t>Romance,Life,Youth,Drama</t>
  </si>
  <si>
    <t>Lovers Reunited,High School Sweethearts,First Love,Healing,Flashback To Past,Love/Hate Relationship,Interview,Second Chance Romance,Coming Of Age,Character Development</t>
  </si>
  <si>
    <t>Choi Woo Shik,Kim Da Mi,Kim Sung Cheol,Roh Jeong Eui</t>
  </si>
  <si>
    <t>Secret Garden</t>
  </si>
  <si>
    <t>Comedy,Romance,Melodrama,Supernatural</t>
  </si>
  <si>
    <t>Body Swap,Rich Man/Poor Woman,Hardworking Female Lead,Male Chases Female First,Hot-tempered Female Lead,Rich Male Lead,Character Development,Obsessive Male Lead,Love Triangle,Secondary Couple</t>
  </si>
  <si>
    <t>Hyun Bin,Ha Ji Won,Yoon Sang Hyun,Kim Sa Rang</t>
  </si>
  <si>
    <t>Mr. Queen</t>
  </si>
  <si>
    <t>Historical,Comedy,Romance,Fantasy</t>
  </si>
  <si>
    <t>Transmigration,Sassy Female Lead,Eccentric Female Lead,Joseon Dynasty,Calm Male Lead,Time Travel,Palace Setting,Marriage Of Convenience,Gender Swap,Smart Male Lead</t>
  </si>
  <si>
    <t>Shin Hye Sun,Kim Jung Hyun</t>
  </si>
  <si>
    <t>Coffee Prince</t>
  </si>
  <si>
    <t>Food,Comedy,Romance,Drama</t>
  </si>
  <si>
    <t>Cross-Dressing,Hidden Identity,Boss-Employee Relationship,Family Pressure,Hardworking Female Lead,Eccentric Female Lead,Barista Female Lead,Tomboy Female Lead,Character Development,Rich Man/Poor Woman</t>
  </si>
  <si>
    <t>Gong Yoo,Yoon Eun Hye,Lee Sun Kyun,Chae Jung An</t>
  </si>
  <si>
    <t>King The Land</t>
  </si>
  <si>
    <t>Comedy,Romance</t>
  </si>
  <si>
    <t>Hotel Setting,Male Chases Female First,Best Friends' Relationship,Hardworking Female Lead,Workplace Setting,Rich Male Lead,Secondary Couple,Opposites Attract,Sibling Rivalry,Hotel Management</t>
  </si>
  <si>
    <t>Lee Jun Ho,Im Yoon Ah</t>
  </si>
  <si>
    <t>Oh My Ghost</t>
  </si>
  <si>
    <t>Thriller,Comedy,Romance,Supernatural</t>
  </si>
  <si>
    <t>Boss-Employee Relationship,Identity Swap,Hardworking Male Lead,Successful Male Lead,Ghost-seeing Female Lead,Sismance,Love Triangle,Cold Man/Warm Woman,Female Chases Male First,Shamanism</t>
  </si>
  <si>
    <t>Park Bo Young,Jo Jung Suk,Im Joo Hwan,Kim Seul Gi</t>
  </si>
  <si>
    <t>Weak Hero Class 1</t>
  </si>
  <si>
    <t>Action,Youth,Drama</t>
  </si>
  <si>
    <t>Teenager Male Lead,Violence,Friendship,School Bullying,Skilled Fighter,School Setting,Social Issues,Bromance,High School,Introverted Male Lead</t>
  </si>
  <si>
    <t>Park Ji Hoon,Choi Hyun Wook,Hong Kyung,Kim Su Gyeom</t>
  </si>
  <si>
    <t>Nevertheless</t>
  </si>
  <si>
    <t>Saturday</t>
  </si>
  <si>
    <t>Multiple Couples,Love Triangle,Playboy Male Lead,Adapted From A Webtoon,Friends With Benefits,Inner Monologue,Sexual Content,Fast Paced Romance,Playful Male Lead,Flirty Male Lead</t>
  </si>
  <si>
    <t>Han So Hee,Song Kang,Chae Jong Hyeop,Lee Yeol Eum,Yang Hye Ji</t>
  </si>
  <si>
    <t>All of Us Are Dead</t>
  </si>
  <si>
    <t>Action,Thriller,Horror,Sci-Fi</t>
  </si>
  <si>
    <t>Survival,Zombies,Death,Zombie Apocalypse,Virus,Gore,Slight Romance,High School,Friendship,School Bullying</t>
  </si>
  <si>
    <t>Park Ji Hu,Yoon Chan Young,Lomon,Cho Yi Hyun</t>
  </si>
  <si>
    <t>A Korean Odyssey</t>
  </si>
  <si>
    <t>Ghost-seeing Female Lead,Supernatural Power,Demon,Aggressive Male Lead,Ghost,Love/Hate Relationship,Eccentric Male Lead,Bromance,Mean Male Lead,Adapted From A Novel</t>
  </si>
  <si>
    <t>Lee Seung Gi,Cha Seung Won,Oh Yeon Seo,Lee Hong Ki,Jang Gwang</t>
  </si>
  <si>
    <t>Abyss</t>
  </si>
  <si>
    <t>Mystery,Comedy,Romance,Fantasy</t>
  </si>
  <si>
    <t>Murder,Reincarnation,Nice Male Lead,Death,Hidden Identity,Investigation,Supernatural,Age Gap [Real Life],Hardworking Female Lead,Smart Female Lead</t>
  </si>
  <si>
    <t>Park Bo Young,Ahn Hyo Seop</t>
  </si>
  <si>
    <t>My Demon</t>
  </si>
  <si>
    <t>Action,Comedy,Romance,Fantasy</t>
  </si>
  <si>
    <t>Demon Male Lead,Supernatural,Heiress Female Lead,Supernatural Power,Sassy Female Lead,Contract Relationship,Rich Female Lead,Age Gap [Real Life],Orphan Female Lead,Interspecies Romance</t>
  </si>
  <si>
    <t>Kim You Jung,Song Kang</t>
  </si>
  <si>
    <t>Tomorrow</t>
  </si>
  <si>
    <t>Action,Thriller,Drama,Fantasy</t>
  </si>
  <si>
    <t>Grim Reaper Female Lead,Grim Reaper Male Lead,Underworld,Attempted Suicide,Death,Suicide,Afterlife,Suicide Prevention,Coma,Team Leader Female Lead</t>
  </si>
  <si>
    <t>Kim Hee Sun,Ro Woon,Lee Soo Hyuk,Yun Jin On</t>
  </si>
  <si>
    <t>Run On</t>
  </si>
  <si>
    <t>Romance,Life,Drama,Sports</t>
  </si>
  <si>
    <t>Calm Male Lead,Multiple Couples,Nice Male Lead,Hardworking Female Lead,Eccentric Male Lead,Smart Female Lead,Famous Male Lead,Father-Son Relationship,Translator Female Lead,Healing</t>
  </si>
  <si>
    <t>Yim Si Wan,Shin Sae Kyeong,Choi Soo Young,Kang Tae Oh</t>
  </si>
  <si>
    <t>Happiness</t>
  </si>
  <si>
    <t>Action,Thriller,Drama,Sci-Fi</t>
  </si>
  <si>
    <t>Infectious Disease,Quarantine,Detective Male Lead,Virus,Slow Burn Romance,Survival,Healthy Mains‚Äô Relationship,Illness,Determined Female Lead,Smart Male Lead</t>
  </si>
  <si>
    <t>Han Hyo Joo,Park Hyung Sik,Jo Woo Jin</t>
  </si>
  <si>
    <t>Twinkling Watermelon</t>
  </si>
  <si>
    <t>Romance,Youth,Drama,Fantasy</t>
  </si>
  <si>
    <t>Time Travel,Child From The Future,Sign Language,Father-Son Relationship,Deafness,1990s,Music,Coming Of Age,Friendship,Comedy</t>
  </si>
  <si>
    <t>Ryeoun,Choi Hyun Wook,Seol In Ah,Shin Eun Soo</t>
  </si>
  <si>
    <t>The Bride of Habaek</t>
  </si>
  <si>
    <t>Interspecies Romance,Steamy Kiss,Supernatural Power,Poor Female Lead,Eccentric Male Lead,Arrogant Male Lead,Healing,Elemental Power,Orphan Female Lead,Supernatural</t>
  </si>
  <si>
    <t>Shin Sae Kyeong,Nam Joo Hyuk,Im Joo Hwan,Krystal Jung,Gong Myung</t>
  </si>
  <si>
    <t>Vagabond</t>
  </si>
  <si>
    <t>Corruption,Death,Revenge,National Intelligence Service,Blackmail,Teamwork,Power Struggle,Smart Male Lead,Slow Burn Romance,Conspiracy</t>
  </si>
  <si>
    <t>Lee Seung Gi,Bae Suzy,Shin Sung Rok</t>
  </si>
  <si>
    <t>Angel's Last Mission: Love</t>
  </si>
  <si>
    <t>Nice Male Lead,Warm Man/Cold Woman,Orphan Female Lead,Opposites Attract,Ballet,Tearjerker,Rich Female Lead,Male Chases Female First,Cohabitation,Hidden Identity</t>
  </si>
  <si>
    <t>L,Shin Hye Sun,Lee Dong Gun,Kim Bo Mi</t>
  </si>
  <si>
    <t>I Hear Your Voice</t>
  </si>
  <si>
    <t>Mystery,Law,Romance,Supernatural</t>
  </si>
  <si>
    <t>Revenge,Smart Female Lead,Trauma,Older Woman/Younger Man,Male Chases Female First,Mind Reading,Cohabitation,Love Triangle,Death,Orphan Male Lead</t>
  </si>
  <si>
    <t>Lee Jong Suk,Lee Bo Young,Yoon Sang Hyun,Lee Da Hee</t>
  </si>
  <si>
    <t>He Is Psychometric</t>
  </si>
  <si>
    <t>Thriller,Mystery,Romance,Supernatural</t>
  </si>
  <si>
    <t>Psychometry,Nice Male Lead,Smart Female Lead,Bromance,Death,Slow Romance,Sassy Female Lead,Investigation,Supernatural Power,Airhead Male Lead</t>
  </si>
  <si>
    <t>Park Jin Young,Shin Ye Eun,Kim Kwon,Kim Da Som</t>
  </si>
  <si>
    <t>My Secret Romance</t>
  </si>
  <si>
    <t>One-night Stand,Rich Man/Poor Woman,Boss-Employee Relationship,Fast Paced Romance,Rich Male Lead,Cooking,Love Triangle,Mother-Daughter Relationship,Mean Male Lead,Meet Again</t>
  </si>
  <si>
    <t>Sung Hoon,Song Ji Eun,Kim Jae Young,Jung Da Sol</t>
  </si>
  <si>
    <t>My Roommate Is a Gumiho</t>
  </si>
  <si>
    <t>Comedy,Romance,Fantasy</t>
  </si>
  <si>
    <t>Calm Male Lead,Straightforward Female Lead,Cohabitation,Adapted From A Webtoon,Nine-tailed Fox,Friendship,Supernatural,Multiple Mains,Nice Male Lead,Multiple Couples</t>
  </si>
  <si>
    <t>Jang Ki Yong,Lee Hye Ri,Kang Han Na,Kim Do Wan,Bae In Hyuk</t>
  </si>
  <si>
    <t>Lovely Runner</t>
  </si>
  <si>
    <t>Music,Comedy,Romance,Fantasy</t>
  </si>
  <si>
    <t>Butterfly Effect,Second Chance,Time Travel,Passionate Male Lead,Time Altering,Famous Male Lead,Love At First Sight,Determined Female Lead,Age Gap [Real Life],Past And Present</t>
  </si>
  <si>
    <t>Byeon Woo Seok,Kim Hye Yoon,Song Geon Hee,Lee Seung Hyub</t>
  </si>
  <si>
    <t>It's Okay, That's Love</t>
  </si>
  <si>
    <t>Trauma,Healing,Cohabitation,Rich Male Lead,Hallucination,Cheerful Male Lead,Tourette Syndrome,Male Chases Female First,Heartbreak,Psychiatrist Female Lead</t>
  </si>
  <si>
    <t>Zo In Sung,Gong Hyo Jin</t>
  </si>
  <si>
    <t>You're Beautiful</t>
  </si>
  <si>
    <t>Music,Comedy,Romance,Drama</t>
  </si>
  <si>
    <t>Gender Bender,Cross-Dressing,Identity Swap,Singing,Love Triangle,Twin Exchange,Bromance,Cold Male Lead,Nice Female Lead,Cold Man/Warm Woman</t>
  </si>
  <si>
    <t>Jang Geun Suk,Park Shin Hye,Jung Yong Hwa,Lee Hong Ki</t>
  </si>
  <si>
    <t>Just Between Lovers</t>
  </si>
  <si>
    <t>Psychological,Romance,Melodrama</t>
  </si>
  <si>
    <t>Trauma,Orphan Male Lead,Healing,Death,Hardworking Female Lead,Fated Love,Hardworking Male Lead,Phobia,Poor Male Lead,Disaster</t>
  </si>
  <si>
    <t>Lee Jun Ho,Won Jin A,Lee Ki Woo,Kang Han Na</t>
  </si>
  <si>
    <t>Playful Kiss</t>
  </si>
  <si>
    <t>Cohabitation,Adapted From A Manga,First Love,Unrequited Love,Mean Male Lead,Female Chases Male First,High School,Love Triangle,Smart Male Lead,Cold Male Lead</t>
  </si>
  <si>
    <t>Kim Hyun Joong,Jung So Min,Lee Tae Sung</t>
  </si>
  <si>
    <t>Queen of Tears</t>
  </si>
  <si>
    <t>Rich Family,Company President (CEO) Female Lead,Lawyer Male Lead,Black Comedy,Heiress Female Lead,Second Chance Romance,Married Life,Illness,Conglomerate,Prestigious Family</t>
  </si>
  <si>
    <t>Kim Soo Hyun,Kim Ji Won,Park Sung Hoon,Kwak Dong Yeon,Lee Joo Bin</t>
  </si>
  <si>
    <t>City Hunter</t>
  </si>
  <si>
    <t>Action,Thriller,Crime</t>
  </si>
  <si>
    <t>Hidden Identity,Revenge,Corruption,Adapted From A Manga,Smart Male Lead,Romance,Death,Rich Man/Poor Woman,Bromance,Badass Male Lead</t>
  </si>
  <si>
    <t>Lee Min Ho,Park Min Young,Lee Joon Hyuk,Kim Sang Joong</t>
  </si>
  <si>
    <t>The Master's Sun</t>
  </si>
  <si>
    <t>Horror,Comedy,Romance,Supernatural</t>
  </si>
  <si>
    <t>Ghost,Eccentric Female Lead,Ghost-seeing Female Lead,Rich Male Lead,Clingy Female Lead,Successful Male Lead,Trauma,Secondary Couple,Eccentric Male Lead,Hidden Identity</t>
  </si>
  <si>
    <t>Gong Hyo Jin,So Ji Sub,Seo In Guk,Kim Yoo Ri</t>
  </si>
  <si>
    <t>Who Are You: School 2015</t>
  </si>
  <si>
    <t>Mystery,Romance,Youth,Drama</t>
  </si>
  <si>
    <t>Identity Swap,School Bullying,School Problems,High School,Amnesia,Love Triangle,Trauma,Hidden Identity,Orphan Female Lead,Tearjerker</t>
  </si>
  <si>
    <t>Kim So Hyun,Nam Joo Hyuk,Yook Sung Jae</t>
  </si>
  <si>
    <t>The Beauty Inside</t>
  </si>
  <si>
    <t>Prosopagnosia,Successful Male Lead,Calm Male Lead,Secondary Couple,Contract Relationship,Famous Female Lead,Rich Female Lead,Rich Male Lead,Sismance,Secret</t>
  </si>
  <si>
    <t>Seo Hyun Jin,Lee Min Ki,Lee Da Hee,Ahn Jae Hyun</t>
  </si>
  <si>
    <t>Love in the Moonlight</t>
  </si>
  <si>
    <t>Historical,Comedy,Romance,Drama</t>
  </si>
  <si>
    <t>Cross-Dressing,Joseon Dynasty,Hidden Identity,First Love,Male Chases Female First,Lovers Separated,Forbidden Love,Opposites Attract,Royalty,Bromance</t>
  </si>
  <si>
    <t>Park Bo Gum,Kim You Jung,Jung Jin Young,Kwak Dong Yeon,Chae Soo Bin</t>
  </si>
  <si>
    <t>Bring It On, Ghost</t>
  </si>
  <si>
    <t>Ghost,Ghost-seeing Male Lead,Exorcism,Interspecies Romance,Nice Male Lead,Badass Female Lead,Adapted From A Webtoon,Sassy Female Lead,Bromance,Death</t>
  </si>
  <si>
    <t>Ok Taec Yeon,Kim So Hyun,Kwon Yul</t>
  </si>
  <si>
    <t>Signal</t>
  </si>
  <si>
    <t>Thriller,Mystery,Sci-Fi</t>
  </si>
  <si>
    <t>Different Timelines,Butterfly Effect,Murder,Hwaseong Serial Murders,Suspense,Investigation,Death,Corruption,Time Altering,Smart Female Lead</t>
  </si>
  <si>
    <t>Lee Je Hoon,Kim Hye Soo,Jo Jin Woong</t>
  </si>
  <si>
    <t>Uncontrollably Fond</t>
  </si>
  <si>
    <t>Terminal Illness,Tearjerker,Male Chases Female First,Poor Female Lead,Star Crossed Lovers,Rich Male Lead,Illness,Age Gap [Real Life],Singer Male Lead,Naive Female Lead</t>
  </si>
  <si>
    <t>Kim Woo Bin,Bae Suzy,Im Joo Hwan,Im Ju Eun</t>
  </si>
  <si>
    <t>Prison Playbook</t>
  </si>
  <si>
    <t>Comedy,Crime,Life,Drama</t>
  </si>
  <si>
    <t>Life Lesson,Prison Setting,Bromance,Wrongfully Accused,Character Development,Slight Romance,Best Friends' Relationship,Murder,Prisoner Male Lead,Black Comedy</t>
  </si>
  <si>
    <t>Park Hae Soo,Jung Kyung Ho</t>
  </si>
  <si>
    <t>The Glory Part 2</t>
  </si>
  <si>
    <t>Revenge,Graphic Violence,Brief Nudity,Domestic Violence,Suspense,Nudity,Trauma,Sexual Assault,Perpetrator-Victim Relationship,Doctor Male Lead</t>
  </si>
  <si>
    <t>Extracurricular</t>
  </si>
  <si>
    <t>Wednesday</t>
  </si>
  <si>
    <t>Psychological,Crime,Youth,Drama</t>
  </si>
  <si>
    <t>Sex Trafficking,Prostitution,Illegal Business,High School,Smart Male Lead,Violence,Rich Female Lead,School Bullying,Slight Romance,Child Abandonment</t>
  </si>
  <si>
    <t>Kim Dong Hee,Park Ju Hyun,Jung Da Bin,Nam Yoon Su</t>
  </si>
  <si>
    <t>My Mister</t>
  </si>
  <si>
    <t>Psychological,Life,Drama</t>
  </si>
  <si>
    <t>Nice Male Lead,Depression,Healing,Poor Female Lead,Infidelity,Power Struggle,Grandma-Granddaughter Relationship,Smart Female Lead,Warm Man/Cold Woman,Corruption</t>
  </si>
  <si>
    <t>Lee Sun Kyun,IU</t>
  </si>
  <si>
    <t>Dream High</t>
  </si>
  <si>
    <t>High School,School Bullying,Love Triangle,Character Development,Youth,Friends To Lovers,Multiple Mains,Cohabitation,Weight Loss,Friendship</t>
  </si>
  <si>
    <t>Bae Suzy,Kim Soo Hyun,Ok Taec Yeon,Ham Eun Jung,Jang Woo Young,IU</t>
  </si>
  <si>
    <t>18 Again</t>
  </si>
  <si>
    <t>Romance,Life,Drama,Fantasy</t>
  </si>
  <si>
    <t>First Love,Father-Son Relationship,Father-Daughter Relationship,Hardworking Female Lead,Mother-Daughter Relationship,Life Lesson,Becoming Young,Hidden Identity,Character Development,Teenage Pregnancy</t>
  </si>
  <si>
    <t>Kim Ha Neul,Yoon Sang Hyun,Lee Do Hyun</t>
  </si>
  <si>
    <t>Something in the Rain</t>
  </si>
  <si>
    <t>Business,Romance,Life,Melodrama</t>
  </si>
  <si>
    <t>Family Pressure,Nice Male Lead,Forbidden Love,Older Woman/Younger Man,Sexual Harassment,Male Chases Female First,Disapproving Parent,Secret Relationship,Family Dispute,Sismance</t>
  </si>
  <si>
    <t>Son Ye Jin,Jung Hae In</t>
  </si>
  <si>
    <t>Doctor Strange</t>
  </si>
  <si>
    <t>Thriller,Romance,Drama,Medical</t>
  </si>
  <si>
    <t>Nice Male Lead,Love Triangle,Scheme,Hidden Identity,Love Square,Kidnapping,Second Chance,Emotionally Strong Female Lead,Emotionally Strong Male Lead,North Korean Female Lead</t>
  </si>
  <si>
    <t>Lee Jong Suk,Jin Se Yeon,Kang So Ra,Park Hae Jin</t>
  </si>
  <si>
    <t>Era</t>
  </si>
  <si>
    <t>a</t>
  </si>
  <si>
    <t>Row Labels</t>
  </si>
  <si>
    <t>Early Era (2007-2012)</t>
  </si>
  <si>
    <t>Global Era (2023-2024)</t>
  </si>
  <si>
    <t>Growth Era (2013-2016)</t>
  </si>
  <si>
    <t>Peak Era (2017-2019)</t>
  </si>
  <si>
    <t>Streaming Era (2020-2022)</t>
  </si>
  <si>
    <t>Grand Total</t>
  </si>
  <si>
    <t>Count of Name</t>
  </si>
  <si>
    <t>Average of Rating</t>
  </si>
  <si>
    <t>Average of Watchers</t>
  </si>
  <si>
    <t>High Rated</t>
  </si>
  <si>
    <t>% Rated ≥8.8</t>
  </si>
  <si>
    <t>Number of Dramas</t>
  </si>
  <si>
    <t>Average Watchers</t>
  </si>
  <si>
    <t>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</si>
</sst>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  <xf numFmtId="164" fontId="0" fillId="0" borderId="0" xfId="0" applyNumberFormat="1"/>
    <xf numFmtId="0" fontId="1" fillId="2" borderId="2" xfId="0" applyFont="1" applyFill="1" applyBorder="1" applyAlignment="1">
      <alignment horizontal="left"/>
    </xf>
    <xf numFmtId="164" fontId="1" fillId="2" borderId="2" xfId="0" applyNumberFormat="1" applyFont="1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 from Kaggle.xlsx]Chart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K-Drama Rating by Year (2007–2024)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'Chart 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1'!$A$4:$A$20</c:f>
              <c:strCache>
                <c:ptCount val="16"/>
                <c:pt idx="0">
                  <c:v>2007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strCache>
            </c:strRef>
          </c:cat>
          <c:val>
            <c:numRef>
              <c:f>'Chart 1'!$B$4:$B$20</c:f>
              <c:numCache>
                <c:formatCode>0.0</c:formatCode>
                <c:ptCount val="16"/>
                <c:pt idx="0">
                  <c:v>8.3000000000000007</c:v>
                </c:pt>
                <c:pt idx="1">
                  <c:v>7.75</c:v>
                </c:pt>
                <c:pt idx="2">
                  <c:v>7.6999999999999993</c:v>
                </c:pt>
                <c:pt idx="3">
                  <c:v>8.15</c:v>
                </c:pt>
                <c:pt idx="4">
                  <c:v>8.2750000000000004</c:v>
                </c:pt>
                <c:pt idx="5">
                  <c:v>8.4</c:v>
                </c:pt>
                <c:pt idx="6">
                  <c:v>8.4166666666666661</c:v>
                </c:pt>
                <c:pt idx="7">
                  <c:v>8.34</c:v>
                </c:pt>
                <c:pt idx="8">
                  <c:v>8.2799999999999994</c:v>
                </c:pt>
                <c:pt idx="9">
                  <c:v>8.32</c:v>
                </c:pt>
                <c:pt idx="10">
                  <c:v>8.2363636363636363</c:v>
                </c:pt>
                <c:pt idx="11">
                  <c:v>8.5642857142857132</c:v>
                </c:pt>
                <c:pt idx="12">
                  <c:v>8.5299999999999994</c:v>
                </c:pt>
                <c:pt idx="13">
                  <c:v>8.8500000000000014</c:v>
                </c:pt>
                <c:pt idx="14">
                  <c:v>8.6499999999999986</c:v>
                </c:pt>
                <c:pt idx="15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E7-8F45-96FE-657C703C807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709888"/>
        <c:axId val="1881132095"/>
      </c:lineChart>
      <c:catAx>
        <c:axId val="30709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132095"/>
        <c:crosses val="autoZero"/>
        <c:auto val="1"/>
        <c:lblAlgn val="ctr"/>
        <c:lblOffset val="100"/>
        <c:noMultiLvlLbl val="0"/>
      </c:catAx>
      <c:valAx>
        <c:axId val="1881132095"/>
        <c:scaling>
          <c:orientation val="minMax"/>
          <c:max val="9.5"/>
          <c:min val="7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Rating (out of 10)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 from Kaggle.xlsx]Chart 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Number of Top-Rated K-Dramas by Year (2007–2024)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3'!$A$4:$A$20</c:f>
              <c:strCache>
                <c:ptCount val="16"/>
                <c:pt idx="0">
                  <c:v>2007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</c:strCache>
            </c:strRef>
          </c:cat>
          <c:val>
            <c:numRef>
              <c:f>'Chart 3'!$B$4:$B$20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15</c:v>
                </c:pt>
                <c:pt idx="8">
                  <c:v>10</c:v>
                </c:pt>
                <c:pt idx="9">
                  <c:v>5</c:v>
                </c:pt>
                <c:pt idx="10">
                  <c:v>11</c:v>
                </c:pt>
                <c:pt idx="11">
                  <c:v>14</c:v>
                </c:pt>
                <c:pt idx="12">
                  <c:v>10</c:v>
                </c:pt>
                <c:pt idx="13">
                  <c:v>8</c:v>
                </c:pt>
                <c:pt idx="14">
                  <c:v>4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B-A743-A4B9-CDDBCEECD9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879744831"/>
        <c:axId val="1704013631"/>
      </c:barChart>
      <c:catAx>
        <c:axId val="1879744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Year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013631"/>
        <c:crosses val="autoZero"/>
        <c:auto val="1"/>
        <c:lblAlgn val="ctr"/>
        <c:lblOffset val="100"/>
        <c:noMultiLvlLbl val="0"/>
      </c:catAx>
      <c:valAx>
        <c:axId val="170401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Number of Dramas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4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 from Kaggle.xlsx]Chart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Average Watchers by Era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4'!$A$4:$A$9</c:f>
              <c:strCache>
                <c:ptCount val="5"/>
                <c:pt idx="0">
                  <c:v>Early Era (2007-2012)</c:v>
                </c:pt>
                <c:pt idx="1">
                  <c:v>Growth Era (2013-2016)</c:v>
                </c:pt>
                <c:pt idx="2">
                  <c:v>Peak Era (2017-2019)</c:v>
                </c:pt>
                <c:pt idx="3">
                  <c:v>Streaming Era (2020-2022)</c:v>
                </c:pt>
                <c:pt idx="4">
                  <c:v>Global Era (2023-2024)</c:v>
                </c:pt>
              </c:strCache>
            </c:strRef>
          </c:cat>
          <c:val>
            <c:numRef>
              <c:f>'Chart 4'!$B$4:$B$9</c:f>
              <c:numCache>
                <c:formatCode>#,##0</c:formatCode>
                <c:ptCount val="5"/>
                <c:pt idx="0">
                  <c:v>105887.57142857143</c:v>
                </c:pt>
                <c:pt idx="1">
                  <c:v>134274.55172413794</c:v>
                </c:pt>
                <c:pt idx="2">
                  <c:v>124320.80769230769</c:v>
                </c:pt>
                <c:pt idx="3">
                  <c:v>122215.40625</c:v>
                </c:pt>
                <c:pt idx="4">
                  <c:v>95934.666666666672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BC-BD49-A0A2-D3937761F6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98735295"/>
        <c:axId val="1698731711"/>
      </c:barChart>
      <c:catAx>
        <c:axId val="1698735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731711"/>
        <c:crosses val="autoZero"/>
        <c:auto val="1"/>
        <c:lblAlgn val="ctr"/>
        <c:lblOffset val="100"/>
        <c:noMultiLvlLbl val="0"/>
      </c:catAx>
      <c:valAx>
        <c:axId val="169873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Watchers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73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Average Rating by Era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table, chart 2'!$B$19</c:f>
              <c:strCache>
                <c:ptCount val="1"/>
                <c:pt idx="0">
                  <c:v>Average of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table, chart 2'!$A$20:$A$25</c:f>
              <c:strCache>
                <c:ptCount val="6"/>
                <c:pt idx="0">
                  <c:v>Early Era (2007-2012)</c:v>
                </c:pt>
                <c:pt idx="1">
                  <c:v>Growth Era (2013-2016)</c:v>
                </c:pt>
                <c:pt idx="2">
                  <c:v>Peak Era (2017-2019)</c:v>
                </c:pt>
                <c:pt idx="3">
                  <c:v>Streaming Era (2020-2022)</c:v>
                </c:pt>
                <c:pt idx="4">
                  <c:v>Global Era (2023-2024)</c:v>
                </c:pt>
                <c:pt idx="5">
                  <c:v>Grand Total</c:v>
                </c:pt>
              </c:strCache>
            </c:strRef>
          </c:cat>
          <c:val>
            <c:numRef>
              <c:f>'Summary table, chart 2'!$B$20:$B$25</c:f>
              <c:numCache>
                <c:formatCode>0.0</c:formatCode>
                <c:ptCount val="6"/>
                <c:pt idx="0">
                  <c:v>7.9285714285714288</c:v>
                </c:pt>
                <c:pt idx="1">
                  <c:v>8.3551724137931025</c:v>
                </c:pt>
                <c:pt idx="2">
                  <c:v>8.2692307692307701</c:v>
                </c:pt>
                <c:pt idx="3">
                  <c:v>8.625</c:v>
                </c:pt>
                <c:pt idx="4">
                  <c:v>8.7333333333333325</c:v>
                </c:pt>
                <c:pt idx="5">
                  <c:v>8.411999999999999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2-F14F-A991-25C483D631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01987263"/>
        <c:axId val="1801988607"/>
      </c:barChart>
      <c:catAx>
        <c:axId val="1801987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988607"/>
        <c:crosses val="autoZero"/>
        <c:auto val="1"/>
        <c:lblAlgn val="ctr"/>
        <c:lblOffset val="100"/>
        <c:noMultiLvlLbl val="0"/>
      </c:catAx>
      <c:valAx>
        <c:axId val="18019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Average Rating (out of 10)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987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660400</xdr:colOff>
      <xdr:row>4</xdr:row>
      <xdr:rowOff>25400</xdr:rowOff>
    </xdr:from>
    <xdr:to>
      <xdr:col>13</xdr:col>
      <xdr:colOff>749300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39266-F19B-D784-33FC-6A466BA8E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13</xdr:row>
      <xdr:rowOff>139700</xdr:rowOff>
    </xdr:from>
    <xdr:to>
      <xdr:col>12</xdr:col>
      <xdr:colOff>736600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35B4A-354D-2CE5-5BAB-97386CEE0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804938</xdr:colOff>
      <xdr:row>2</xdr:row>
      <xdr:rowOff>50800</xdr:rowOff>
    </xdr:from>
    <xdr:to>
      <xdr:col>12</xdr:col>
      <xdr:colOff>609600</xdr:colOff>
      <xdr:row>18</xdr:row>
      <xdr:rowOff>132080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D6BB22-DB4B-CA31-409F-20ABD08D4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660400</xdr:colOff>
      <xdr:row>14</xdr:row>
      <xdr:rowOff>101600</xdr:rowOff>
    </xdr:from>
    <xdr:to>
      <xdr:col>13</xdr:col>
      <xdr:colOff>635000</xdr:colOff>
      <xdr:row>32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857953-A24C-2EBC-F68B-C00233797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" refreshedDate="46102.968268865741" createdVersion="8" refreshedVersion="8" minRefreshableVersion="3" recordCount="101" xr:uid="{3482F0A5-FF6A-6E41-9997-344981A0BACB}">
  <cacheSource type="worksheet">
    <worksheetSource ref="A1:K1048576" sheet="Dataset"/>
  </cacheSource>
  <cacheFields count="11">
    <cacheField name="Name" numFmtId="0">
      <sharedItems containsBlank="1"/>
    </cacheField>
    <cacheField name="Year" numFmtId="0">
      <sharedItems containsString="0" containsBlank="1" containsNumber="1" containsInteger="1" minValue="2007" maxValue="2024" count="17">
        <n v="2016"/>
        <n v="2020"/>
        <n v="2018"/>
        <n v="2019"/>
        <n v="2022"/>
        <n v="2017"/>
        <n v="2021"/>
        <n v="2009"/>
        <n v="2013"/>
        <n v="2014"/>
        <n v="2015"/>
        <n v="2010"/>
        <n v="2007"/>
        <n v="2023"/>
        <n v="2024"/>
        <n v="2011"/>
        <m/>
      </sharedItems>
    </cacheField>
    <cacheField name="Rating" numFmtId="0">
      <sharedItems containsString="0" containsBlank="1" containsNumber="1" minValue="7.1" maxValue="9.1999999999999993"/>
    </cacheField>
    <cacheField name="Watchers" numFmtId="0">
      <sharedItems containsString="0" containsBlank="1" containsNumber="1" containsInteger="1" minValue="82611" maxValue="254985"/>
    </cacheField>
    <cacheField name="Episodes" numFmtId="0">
      <sharedItems containsBlank="1" containsMixedTypes="1" containsNumber="1" containsInteger="1" minValue="8" maxValue="40"/>
    </cacheField>
    <cacheField name="Ep. Duration" numFmtId="0">
      <sharedItems containsNonDate="0" containsDate="1" containsString="0" containsBlank="1" minDate="1899-12-30T00:30:00" maxDate="1899-12-30T01:35:00"/>
    </cacheField>
    <cacheField name="Aired On" numFmtId="0">
      <sharedItems containsBlank="1"/>
    </cacheField>
    <cacheField name="Genres" numFmtId="0">
      <sharedItems containsBlank="1"/>
    </cacheField>
    <cacheField name="Tags" numFmtId="0">
      <sharedItems containsBlank="1"/>
    </cacheField>
    <cacheField name="Main Actors" numFmtId="0">
      <sharedItems containsBlank="1"/>
    </cacheField>
    <cacheField name="Era" numFmtId="0">
      <sharedItems containsBlank="1" count="6">
        <s v="Growth Era (2013-2016)"/>
        <s v="Streaming Era (2020-2022)"/>
        <s v="Peak Era (2017-2019)"/>
        <s v="Early Era (2007-2012)"/>
        <s v="Global Era (2023-2024)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" refreshedDate="46103.331997453701" createdVersion="8" refreshedVersion="8" minRefreshableVersion="3" recordCount="100" xr:uid="{7F511F43-615C-5140-849B-EA6F24BD2ECC}">
  <cacheSource type="worksheet">
    <worksheetSource ref="A1:K101" sheet="Dataset"/>
  </cacheSource>
  <cacheFields count="11">
    <cacheField name="Name" numFmtId="0">
      <sharedItems/>
    </cacheField>
    <cacheField name="Year" numFmtId="0">
      <sharedItems containsSemiMixedTypes="0" containsString="0" containsNumber="1" containsInteger="1" minValue="2007" maxValue="2024" count="16">
        <n v="2016"/>
        <n v="2020"/>
        <n v="2018"/>
        <n v="2019"/>
        <n v="2022"/>
        <n v="2017"/>
        <n v="2021"/>
        <n v="2009"/>
        <n v="2013"/>
        <n v="2014"/>
        <n v="2015"/>
        <n v="2010"/>
        <n v="2007"/>
        <n v="2023"/>
        <n v="2024"/>
        <n v="2011"/>
      </sharedItems>
    </cacheField>
    <cacheField name="Rating" numFmtId="0">
      <sharedItems containsSemiMixedTypes="0" containsString="0" containsNumber="1" minValue="7.1" maxValue="9.1999999999999993"/>
    </cacheField>
    <cacheField name="Watchers" numFmtId="3">
      <sharedItems containsSemiMixedTypes="0" containsString="0" containsNumber="1" containsInteger="1" minValue="82611" maxValue="254985"/>
    </cacheField>
    <cacheField name="Episodes" numFmtId="0">
      <sharedItems containsMixedTypes="1" containsNumber="1" containsInteger="1" minValue="8" maxValue="40"/>
    </cacheField>
    <cacheField name="Ep. Duration" numFmtId="20">
      <sharedItems containsSemiMixedTypes="0" containsNonDate="0" containsDate="1" containsString="0" minDate="1899-12-30T00:30:00" maxDate="1899-12-30T01:35:00"/>
    </cacheField>
    <cacheField name="Aired On" numFmtId="0">
      <sharedItems/>
    </cacheField>
    <cacheField name="Genres" numFmtId="0">
      <sharedItems/>
    </cacheField>
    <cacheField name="Tags" numFmtId="0">
      <sharedItems/>
    </cacheField>
    <cacheField name="Main Actors" numFmtId="0">
      <sharedItems/>
    </cacheField>
    <cacheField name="Er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" refreshedDate="46103.61538333333" createdVersion="8" refreshedVersion="8" minRefreshableVersion="3" recordCount="100" xr:uid="{AB96EFC6-99EB-124C-8A57-05147C7DF66E}">
  <cacheSource type="worksheet">
    <worksheetSource ref="A1:L101" sheet="Dataset"/>
  </cacheSource>
  <cacheFields count="12">
    <cacheField name="Name" numFmtId="0">
      <sharedItems/>
    </cacheField>
    <cacheField name="Year" numFmtId="0">
      <sharedItems containsSemiMixedTypes="0" containsString="0" containsNumber="1" containsInteger="1" minValue="2007" maxValue="2024"/>
    </cacheField>
    <cacheField name="Rating" numFmtId="0">
      <sharedItems containsSemiMixedTypes="0" containsString="0" containsNumber="1" minValue="7.1" maxValue="9.1999999999999993"/>
    </cacheField>
    <cacheField name="Watchers" numFmtId="3">
      <sharedItems containsSemiMixedTypes="0" containsString="0" containsNumber="1" containsInteger="1" minValue="82611" maxValue="254985"/>
    </cacheField>
    <cacheField name="Episodes" numFmtId="0">
      <sharedItems containsMixedTypes="1" containsNumber="1" containsInteger="1" minValue="8" maxValue="40"/>
    </cacheField>
    <cacheField name="Ep. Duration" numFmtId="20">
      <sharedItems containsSemiMixedTypes="0" containsNonDate="0" containsDate="1" containsString="0" minDate="1899-12-30T00:30:00" maxDate="1899-12-30T01:35:00"/>
    </cacheField>
    <cacheField name="Aired On" numFmtId="0">
      <sharedItems/>
    </cacheField>
    <cacheField name="Genres" numFmtId="0">
      <sharedItems/>
    </cacheField>
    <cacheField name="Tags" numFmtId="0">
      <sharedItems/>
    </cacheField>
    <cacheField name="Main Actors" numFmtId="0">
      <sharedItems/>
    </cacheField>
    <cacheField name="Era" numFmtId="0">
      <sharedItems count="5">
        <s v="Growth Era (2013-2016)"/>
        <s v="Streaming Era (2020-2022)"/>
        <s v="Peak Era (2017-2019)"/>
        <s v="Early Era (2007-2012)"/>
        <s v="Global Era (2023-2024)"/>
      </sharedItems>
    </cacheField>
    <cacheField name="High Rat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Goblin"/>
    <x v="0"/>
    <n v="8.8000000000000007"/>
    <n v="254985"/>
    <n v="16"/>
    <d v="1899-12-30T01:22:00"/>
    <s v="Friday, Saturday"/>
    <s v="Comedy,Romance,Fantasy,Melodrama"/>
    <s v="Older Man/Younger Woman,Interspecies Romance,Dokkaebi,Fate,Bromance,Death,Tearjerker,Supernatural,Age Gap,Secondary Couple"/>
    <s v="Gong Yoo,Kim Go Eun,Lee Dong Wook,Yoo In Na,Yook Sung Jae"/>
    <x v="0"/>
  </r>
  <r>
    <s v="Strong Woman Do Bong Soon"/>
    <x v="0"/>
    <n v="8.6999999999999993"/>
    <n v="239773"/>
    <n v="16"/>
    <d v="1899-12-30T01:07:00"/>
    <s v="Friday, Saturday"/>
    <s v="Action,Comedy,Romance,Supernatural"/>
    <s v="Superhuman Strenght,Love Triangle,Nice Male Lead,Father-Daughter Relationship,Rich Male Lead,Badass Female Lead,Bromance"/>
    <s v="Park Bo Young,Park Hyung Sik,Kim Ji Soo"/>
    <x v="0"/>
  </r>
  <r>
    <s v="It's Okay to Not Be Okay"/>
    <x v="1"/>
    <n v="8.9"/>
    <n v="215957"/>
    <n v="16"/>
    <d v="1899-12-30T01:15:00"/>
    <s v="Saturday, Sunday"/>
    <s v="Psychological,Comedy,Romance,Drama"/>
    <s v="Independent Female Lead,Possessive Female Lead,Successful Female Lead,Healing,Melodrama,Selfless Male Lead,Badass Female Lead,Childhood Connection,Trauma,Mental Illness"/>
    <s v="Kim Soo Hyun,Seo Yea Ji,Oh Jung Se"/>
    <x v="1"/>
  </r>
  <r>
    <s v="Descendants of the Sun"/>
    <x v="0"/>
    <n v="8.6"/>
    <n v="213187"/>
    <n v="16"/>
    <d v="1899-12-30T01:00:00"/>
    <s v="Wednesday, Thursday"/>
    <s v="Action,Comedy,Romance,Supernatural"/>
    <s v="Military,Bromance,Multiple Couples,Hardworking Male Lead,Medical,Gun Violence,Harworking Female Lead,Father-Daughter Relationship,Friendship,Filmed Abroad"/>
    <s v="Song Joong Ki,Song Hye Kyo,Jin Goo,Kim Ji Won"/>
    <x v="0"/>
  </r>
  <r>
    <s v="What's Wrong with Secretary Kim"/>
    <x v="2"/>
    <n v="8.5"/>
    <n v="212766"/>
    <n v="16"/>
    <d v="1899-12-30T01:09:00"/>
    <s v="Wednesday, Thursday"/>
    <s v="Business,Comedy,Romance"/>
    <s v="Boss-Employee Relationship,Rich Male Lead,Adapted From A Webtoon,Male Chases Female First,Calm Female Lead,Smart Female Lead,Trauma,Phobia,Narcissistic Male Lead,First Love"/>
    <s v="Park Min Young,Park Seo Joon"/>
    <x v="2"/>
  </r>
  <r>
    <s v="Weightlifting Fairy Kim Bok Joo"/>
    <x v="0"/>
    <n v="8.8000000000000007"/>
    <n v="212406"/>
    <n v="16"/>
    <d v="1899-12-30T01:00:00"/>
    <s v="Wednesday, Thursday"/>
    <s v="Comedy,Romance,Life,Sports"/>
    <s v="Friends To Lovers,Weightlifting,Healing,First Love,Bantering Relationship,Male Chases Female First,Swimmingm Slow Burn Romance,Sismance,Healthy Mains' Relationship"/>
    <s v="Lee Sung Kyung,Nam Joo Hyuk,Lee Jae Yoon,Kyung Soo Jin"/>
    <x v="0"/>
  </r>
  <r>
    <s v="Crash Landing on You"/>
    <x v="3"/>
    <n v="9"/>
    <n v="208913"/>
    <n v="16"/>
    <d v="1899-12-30T01:25:00"/>
    <s v="Sunday, Saturday"/>
    <s v="Military,Comedy,Romance,Political"/>
    <s v="North and South Korea,Soldier Male Lead,Army,Rich Female Lead,Soldier Supporting Character,Intercountry Romance,Fate,Nice Male Lead,Army Captain Male Lead,Calm Male Lead"/>
    <s v="Hyun Bin,Son Ye Jin,Seo Ji Hye,Kim Jung Hyun"/>
    <x v="2"/>
  </r>
  <r>
    <s v="W"/>
    <x v="0"/>
    <n v="8.5"/>
    <n v="199073"/>
    <n v="16"/>
    <d v="1899-12-30T01:00:00"/>
    <s v="Wednesday, Thursday"/>
    <s v="Thriller,Comedy,Romance,Fantasy"/>
    <s v="Crossworlds Traveler,Attempted Murder,Rich Male Lead,Lovers Separeted,Character Development,Murder,Gun Violence,Revenge,Smart Male Lead,Violence"/>
    <s v="Han Hyo Joo,Lee Jong Suk"/>
    <x v="0"/>
  </r>
  <r>
    <s v="Hotel del Luna"/>
    <x v="3"/>
    <n v="8.6"/>
    <n v="183598"/>
    <n v="16"/>
    <d v="1899-12-30T01:19:00"/>
    <s v="Saturday, Sunday"/>
    <s v="Horror,Comedy,Romance,Fantasy"/>
    <s v="Supernatural,Boss-Employee Relationship,Ghost,Ghost-seeing Male Lead,Death,Smart Female Lead,Nice Male Lead,Flashback To Past,Warm Man/Cold Woman"/>
    <s v="IU,Yeo Jin Goo"/>
    <x v="2"/>
  </r>
  <r>
    <s v="Business Proposal"/>
    <x v="4"/>
    <n v="8.6999999999999993"/>
    <n v="177633"/>
    <n v="12"/>
    <d v="1899-12-30T01:00:00"/>
    <s v="Monday, Tuesday"/>
    <s v="Comedy,Romance,Drama"/>
    <s v="Boss-Employee Relationship,Secondary Couple,Contract Relationship,Fake Identity,CEO Male Lead,Double Identity,Sismance,Rich Male Lead,Cheerful Female Lead,Rich Man/Poor Woman"/>
    <s v="Ahn Hyo Seop,Kim Se Jeong,Kim Min Gue,Seol In Ah"/>
    <x v="1"/>
  </r>
  <r>
    <s v="While You Were Sleeping"/>
    <x v="5"/>
    <n v="8.6999999999999993"/>
    <n v="176827"/>
    <n v="32"/>
    <d v="1899-12-30T00:30:00"/>
    <s v="Wednesday, Thursday"/>
    <s v="Mystery,Romance,Drama,Supernatural"/>
    <s v="Precognition,Murder,Nice Male Lead,First Love,Investigation,Cheerful Male Lead,Smart Male Lead,Eccentric Female Lead,Comedy,Fated Love"/>
    <s v="Bae Suzy,Lee Jong Suk,Lee Sang Yeob,Jung Hae In"/>
    <x v="2"/>
  </r>
  <r>
    <s v="Vincenzo"/>
    <x v="6"/>
    <n v="8.9"/>
    <n v="171730"/>
    <n v="20"/>
    <d v="1899-12-30T01:25:00"/>
    <s v="Saturday, Sunday"/>
    <s v="Comedy,Law,Crime,Drama"/>
    <s v="Mafia,Revenge,Slight Romance,Eccentric Female Lead,Smart Male Lead,Injustice,Black Comedy,Badass Male Lead,Skilled Killer,Corruption"/>
    <s v="Song Joong Ki,Jeon Yeo Been,Ok Taec Yeon"/>
    <x v="1"/>
  </r>
  <r>
    <s v="Boys Over Flowers"/>
    <x v="7"/>
    <n v="7.5"/>
    <n v="169953"/>
    <n v="25"/>
    <d v="1899-12-30T01:05:00"/>
    <s v="Monday, Tuesday"/>
    <s v="Comedy,Romance,Youth,Drama"/>
    <s v="Rich Man/Poor Woman,School Bullying,Love Triangle,Mean Male Lead,Possessive Male Lead,Adapted From A Manga,Reverse-Harem,High School,Disapproving Parent,Male Chases Female First"/>
    <s v="Gu Hye Seon,Lee Min Ho,Kim Hyun Joong,Kim Bum,Kim Joon"/>
    <x v="3"/>
  </r>
  <r>
    <s v="The Heirs"/>
    <x v="8"/>
    <n v="7.6"/>
    <n v="169096"/>
    <n v="20"/>
    <d v="1899-12-30T01:00:00"/>
    <s v="Wednesday, Thursday"/>
    <s v="Comedy,Romance,Drama,Melodrama"/>
    <s v="High School,Family Pressure,Love Triangle,School Bullying,Rich Male Lead,Rich Man/Poor Woman,Male Chases Female First,Poor Female Lead,Controlling Parent,Sibling Rivalry"/>
    <s v="Lee Min Ho,Park Shin Hye,Kim Woo Bin"/>
    <x v="0"/>
  </r>
  <r>
    <s v="My Love from the Star"/>
    <x v="8"/>
    <n v="8.5"/>
    <n v="164412"/>
    <n v="21"/>
    <d v="1899-12-30T00:58:00"/>
    <s v="Wednesday, Thursday"/>
    <s v="Comedy,Romance,Drama,Supernatural"/>
    <s v="Interspecies Romance,Sassy Female Lead,Time Manipulation,Superhuman Strength,Star Crossed Lovers,Smart Male Lead,Airhead Female Lead,Rich Male Lead,Spoiled Female Lead,Opposites Attract"/>
    <s v="Kim Soo Hyun,Jun Ji Hyun,Park Hae Jin,Yoo In Na"/>
    <x v="0"/>
  </r>
  <r>
    <s v="True Beauty"/>
    <x v="1"/>
    <n v="8.3000000000000007"/>
    <n v="162611"/>
    <n v="16"/>
    <d v="1899-12-30T01:15:00"/>
    <s v="Wednesday, Thursday"/>
    <s v="Comedy,Romance,Youth,Drama"/>
    <s v="Makeover,Beauty,Popular Male Lead,High School,Adapted From A Webtoon,Beauty Standards,Hidden Identity,Nice Female Lead,Transformation,Secret Crush"/>
    <s v="Mun Ka Young,Cha Eun Woo,Hwang In Youp"/>
    <x v="1"/>
  </r>
  <r>
    <s v="Healer"/>
    <x v="9"/>
    <n v="8.8000000000000007"/>
    <n v="157401"/>
    <n v="20"/>
    <d v="1899-12-30T01:00:00"/>
    <s v="Monday, Tuesday"/>
    <s v="Action,Thriller,Mystery,Romance"/>
    <s v="Double Identity,Hidden Identity,Smart Male Lead,Badass Male Lead,Hardworking Female Lead,Childish Female Lead,Trauma,Sassy Female Lead,Death,Corruption"/>
    <s v="Ji Chang Wook,Park Min Young,Yoo Ji Tae"/>
    <x v="0"/>
  </r>
  <r>
    <s v="Squid Game"/>
    <x v="6"/>
    <n v="8.4"/>
    <n v="157565"/>
    <n v="9"/>
    <d v="1899-12-30T01:00:00"/>
    <s v="Friday"/>
    <s v="Action,Thriller,Mystery,Drama"/>
    <s v="Death,Death Game,Poor Male Lead,Debt,Competition,Survival,Murder,Suspense,Friends To Enemies,Massacre"/>
    <s v="Lee Jung Jae,Park Hae Soo,Jung Ho Yeon,Wi Ha Joon"/>
    <x v="1"/>
  </r>
  <r>
    <s v="Moon Lovers: Scarlet Heart Ryeo"/>
    <x v="0"/>
    <n v="8.6999999999999993"/>
    <n v="156474"/>
    <n v="20"/>
    <d v="1899-12-30T01:00:00"/>
    <s v="Monday, Tuesday"/>
    <s v="Historical,Romance,Fantasy,Melodrama"/>
    <s v="Goryeo Dynasty,Rivalry,Smart Male Lead,Love/Hate Relationship,Power Struggle,Jealousy,Possessive Male Lead,Secret Relationship,Sibling Rivalry,First Love"/>
    <s v="Lee Joon Gi,IU,Kang Ha Neul"/>
    <x v="0"/>
  </r>
  <r>
    <s v="Flower of Evil"/>
    <x v="1"/>
    <n v="9.1"/>
    <n v="153200"/>
    <n v="16"/>
    <d v="1899-12-30T01:10:00"/>
    <s v="Wednesday, Thursday"/>
    <s v="Thriller,Romance,Crime,Melodrama"/>
    <s v="Detective Female Lead,Psychological,Family Secret,Mystery,Suspense,Hidden Personality,Antisocial Personality Disorder,Investigation,Detective Fiction,Smart Female Lead"/>
    <s v="Lee Jon Gi,Moon Chae Won,Jang Hee Jin,Seo Hyun Woo"/>
    <x v="1"/>
  </r>
  <r>
    <s v="Pinocchio"/>
    <x v="9"/>
    <n v="8.3000000000000007"/>
    <n v="151350"/>
    <n v="20"/>
    <d v="1899-12-30T00:58:00"/>
    <s v="Wednesday, Thursday"/>
    <s v="Thriller,Mystery,Comedy,Romance"/>
    <s v="Hidden Identity,Double Identity,Journalism,Adopted Siblings Love,Cohabitation,Revenge,Wrongfully Accused,Bromance,Misunderstanding,Murder"/>
    <s v="Lee Jong Suk,Park Shin Hye,Kim Young Kwang,Lee Yoo Bi,Jin Kyung"/>
    <x v="0"/>
  </r>
  <r>
    <s v="Itaewon Class"/>
    <x v="1"/>
    <n v="8.4"/>
    <n v="150987"/>
    <n v="16"/>
    <d v="1899-12-30T01:10:00"/>
    <s v="Friday, Saturday"/>
    <s v="Business,Romance,Life,Drama"/>
    <s v="Revenge,Time Skip,Smart Female Lead,Female Chases Male First,Badass Female Lead,Boss-Employee Relationship,Nice Male Lead,Adapted From A Webtoon,Love Triangle,Hardworking Male Lead"/>
    <s v="Park Seo Joon,Kim Da Mi,Kwon Na Ra,Yoo Jae Myung"/>
    <x v="1"/>
  </r>
  <r>
    <s v="The Legend of the Blue Sea"/>
    <x v="0"/>
    <n v="8.3000000000000007"/>
    <n v="148563"/>
    <n v="20"/>
    <d v="1899-12-30T01:00:00"/>
    <s v="Wednesday, Thursday"/>
    <s v="Comedy,Romance,Drama,Fantasy"/>
    <s v="Naive Female Lead,Interspecies Romance,Cohabitation,First Love,Greed,Eccentric Female Lead,Hidden Identity,Fated Love,Mother-Son Relationship,Rich Male Lead"/>
    <s v="Jun Ji Hyun,Lee Min Ho"/>
    <x v="0"/>
  </r>
  <r>
    <s v="I'm Not a Robot"/>
    <x v="5"/>
    <n v="8.3000000000000007"/>
    <n v="146959"/>
    <n v="32"/>
    <d v="1899-12-30T00:35:00"/>
    <s v="Wednesday, Thursday"/>
    <s v="Comedy,Romance,Drama,Sci-Fi"/>
    <s v="Haphephobia,Rich Male Lead,Robot,Eccentric Male Lead,Hardworking Female Lead,Double Identity,Healing,Sismance,Hidden Identity,Illness"/>
    <s v="Yoo Seung Ho,Chae Soo Bin,Uhm Ki Joon"/>
    <x v="2"/>
  </r>
  <r>
    <s v="Fight for My Way"/>
    <x v="5"/>
    <n v="8.5"/>
    <n v="146512"/>
    <n v="16"/>
    <d v="1899-12-30T01:00:00"/>
    <s v="Monday, Tuesday"/>
    <s v="Business,Comedy,Romance,Sports"/>
    <s v="Friends To Lovers,Badass Male Lead,Character Development,First Love,Secondary Couple,Poor Male Lead,Hardworking Male Lead,Life Lesson,Nice Male Lead,Childish Male Lead"/>
    <s v="Park Seo Joon,Kim Ji Won,Ahn Jae Hong,Song Ha Yoon"/>
    <x v="2"/>
  </r>
  <r>
    <s v="My ID is Gangnam Beauty"/>
    <x v="2"/>
    <n v="7.8"/>
    <n v="143909"/>
    <n v="16"/>
    <d v="1899-12-30T01:00:00"/>
    <s v="Friday, Saturday"/>
    <s v="Psychological,Romance,Youth,Drama"/>
    <s v="Beauty Standards,Nice Female Lead,Male Chases Female First,Plastic Surgery,Nice Male Lead,Adapted From A Webtoon,School Bullying,Age Gap [Real Life],Friends To Lovers,Calm Male Lead"/>
    <s v="Im Soo Hyang,Cha Eun Woo,Jo Woo Ri,Kwak Dong Yeon"/>
    <x v="2"/>
  </r>
  <r>
    <s v="Her Private Life"/>
    <x v="3"/>
    <n v="8.3000000000000007"/>
    <n v="138021"/>
    <n v="16"/>
    <d v="1899-12-30T01:15:00"/>
    <s v="Wednesday, Thursday"/>
    <s v="Business,Comedy,Romance,Drama"/>
    <s v="Boss-Employee Relationship,Independent Female Lead,Orphan Male Lead,Smart Male Lead,Calm Male Lead,Sismance,Fan Culture,Eccentric Female Lead,Hidden Personality,Art"/>
    <s v="Park Min Young,Kim Jae Wook"/>
    <x v="2"/>
  </r>
  <r>
    <s v="Suspicious Partner"/>
    <x v="5"/>
    <n v="8.3000000000000007"/>
    <n v="137092"/>
    <n v="40"/>
    <d v="1899-12-30T00:30:00"/>
    <s v="Wednesday, Thursday"/>
    <s v="Thriller,Comedy,Law,Romance"/>
    <s v="Cohabitation,Nice Male Lead,Hardworking Female Lead,Smart Male Lead,Nice Female Lead,Wrongfully Accused,Poor Female Lead,Opposites Attract,Bromance,Boss-Employee Relationship"/>
    <s v="Ji Chang Wook,Nam Ji Hyun,Choi Tae Joon,Kwon Na Ra"/>
    <x v="2"/>
  </r>
  <r>
    <s v="Extraordinary You"/>
    <x v="3"/>
    <n v="8.3000000000000007"/>
    <n v="136969"/>
    <n v="32"/>
    <d v="1899-12-30T00:35:00"/>
    <s v="Wednesday, Thursday"/>
    <s v="Comedy,Romance,Youth,Fantasy"/>
    <s v="Sassy Female Lead,Nice Male Lead,Adapted From A Webtoon,High School,Illness,Height Difference,Love Triangle,Character Development,Amnesia,Multiple Mains"/>
    <s v="Kim Hye Yoon,Ro Woon,Lee Jae Wook,Lee Na Eun,Kim Young Dae,Jung Gun Joo,Lee Tae Ri"/>
    <x v="2"/>
  </r>
  <r>
    <s v="Hometown Cha-Cha-Cha"/>
    <x v="6"/>
    <n v="8.6999999999999993"/>
    <n v="132071"/>
    <n v="16"/>
    <d v="1899-12-30T01:20:00"/>
    <s v="Saturday, Sunday"/>
    <s v="Comedy,Romance,Life,Drama"/>
    <s v="Nice Male Lead,Character Development,Nice Female Lead,Cheerful Male Lead,Hardworking Female Lead,Hardworking Male Lead,Opposites Attract,Confident Female Lead,Smart Female Lead,Healing"/>
    <s v="Shin Min Ah,Kim Seon Ho,Lee Sang Yi"/>
    <x v="1"/>
  </r>
  <r>
    <s v="Extraordinary Attorney Woo"/>
    <x v="4"/>
    <n v="8.9"/>
    <n v="131188"/>
    <n v="16"/>
    <d v="1899-12-30T01:10:00"/>
    <s v="Wednesday, Thursday"/>
    <s v="Law,Romance,Life,Drama"/>
    <s v="Autistic Female Lead,Autism,Attorney Female Lead,Smart Female Lead,Workplace Setting,Nice Male Lead,Father-Daughter Relationship,Courtroom Setting,Single Mother/Father Supporting Character,Slow Burn Romance"/>
    <s v="Park Eun Bin,Kang Tae Oh,Kang Ki Young"/>
    <x v="1"/>
  </r>
  <r>
    <s v="Alchemy of Souls"/>
    <x v="4"/>
    <n v="9.1"/>
    <n v="129020"/>
    <n v="20"/>
    <d v="1899-12-30T01:20:00"/>
    <s v="Saturday, Sunday"/>
    <s v="Action,Historical,Romance,Fantasy"/>
    <s v="Transmigration,Master-Disciple Relationship,Hidden Identity,Supernatural,Body Swap,Elemental Power,Fake Identity,Comedy,Master-Servant Relationship,Flashback To Past"/>
    <s v="Lee Jae Wook,Jung So Min"/>
    <x v="1"/>
  </r>
  <r>
    <s v="Because This Is My First Life"/>
    <x v="5"/>
    <n v="8.4"/>
    <n v="124319"/>
    <n v="16"/>
    <d v="1899-12-30T01:10:00"/>
    <s v="Monday, Tuesday"/>
    <s v="Comedy,Romance,Life,Drama"/>
    <s v="Contract Relationship,Marriage Of Convenience,Eccentric Male Lead,Multiple Couples,Multiple Mains,Cohabitation,Calm Male Lead,Sismance,Nerdy Male Lead,Healing"/>
    <s v="Jung So Min,Lee Min Ki,Esom,Park Byung Eun,Kim Ga Eun,Kim Min Seok"/>
    <x v="2"/>
  </r>
  <r>
    <s v="Love Alarm"/>
    <x v="3"/>
    <n v="7.1"/>
    <n v="123882"/>
    <n v="8"/>
    <d v="1899-12-30T00:50:00"/>
    <s v="Thursday"/>
    <s v="Comedy,Romance,Youth,Drama"/>
    <s v="Male Chases Female First,Love Triangle,First Love,Trauma,Adapted From A Webtoon,Rich Male Lead,Heartbreak,Bromance,Rich Man/Poor Woman,Suicide"/>
    <s v="Kim So Hyun,Jung Ga Ram,Song Kang"/>
    <x v="2"/>
  </r>
  <r>
    <s v="Reply 1988"/>
    <x v="10"/>
    <n v="9.1"/>
    <n v="123446"/>
    <n v="20"/>
    <d v="1899-12-30T01:35:00"/>
    <s v="Friday, Saturday"/>
    <s v="Comedy,Romance,Life,Youth"/>
    <s v="Nostalgia,Multiple Couples,Poor Family,Love Triangle,Friendship,High School,Mother-Son Relationship,Coming Of Age,Bromance,Poor Female Lead"/>
    <s v="Lee Hye Ri,Go Kyung Pyo,Ryu Jun Yeol,Park Bo Gum,Lee Dong Hwi"/>
    <x v="0"/>
  </r>
  <r>
    <s v="The K2"/>
    <x v="0"/>
    <n v="8.1999999999999993"/>
    <n v="120652"/>
    <n v="16"/>
    <d v="1899-12-30T01:00:00"/>
    <s v="Friday, Saturday"/>
    <s v="Action,Thriller,Psychological,Romance"/>
    <s v="Badass Male Lead,Political,Trauma,Power Struggle,Aggressive Male Lead,Naive Female Lead,Revenge,Suspense,Hardworking Male Lead,Birth Secret"/>
    <s v="Ji Chang Wook,Im Yoon Ah,Song Yoon Ah,Jo Sung Ha"/>
    <x v="0"/>
  </r>
  <r>
    <s v="Hospital Playlist"/>
    <x v="1"/>
    <n v="9.1"/>
    <n v="119851"/>
    <n v="12"/>
    <d v="1899-12-30T01:30:00"/>
    <s v="Thursday"/>
    <s v="Comedy,Life,Drama,Medical"/>
    <s v="Friendship,Multiple Mains,Slow Romance,Multiple Couples,Healing,Bromance,Slight Romance,Smart Female Lead,Nice Male Lead,Music"/>
    <s v="Jo Jung Suk,Yoo Yeon Seok,Jung Kyung Ho,Kim Dae Myung,Jeon Mi Do"/>
    <x v="1"/>
  </r>
  <r>
    <s v="Sweet Home"/>
    <x v="1"/>
    <n v="8.6999999999999993"/>
    <n v="119232"/>
    <n v="10"/>
    <d v="1899-12-30T00:52:00"/>
    <s v="Friday"/>
    <s v="Action,Horror,Drama,Sci-Fi"/>
    <s v="Monster,Survival,Character Development,Gore,Supernatural Phenomena,Trauma,Adapted From A Webtoon,Paranormal,Death,Nice Male Lead"/>
    <s v="Song Kang,Lee Jin Wook,Lee Si Young,Lee Do Hyun,Kim Nam Hee,Go Min Si,Park Gyu Young,Go Youn Jung,Kim Gab Soo,Kim Sang Ho"/>
    <x v="1"/>
  </r>
  <r>
    <s v="Romance Is a Bonus Book"/>
    <x v="3"/>
    <n v="8.1"/>
    <n v="119071"/>
    <n v="16"/>
    <d v="1899-12-30T01:02:00"/>
    <s v="Saturday, Sunday"/>
    <s v="Business,Comedy,Romance,Melodrama"/>
    <s v="Friends To Lovers,Cohabitation,Successful Male Lead,Smart Male Lead,Nice Male Lead,Slow Burn Romance,Older Woman/Younger Man,Secret Crush,Love Triangle,Boss-Employee Relationship"/>
    <s v="Lee Na Young,Lee Jong Suk,Jung Eugene,Wi Ha Joon"/>
    <x v="2"/>
  </r>
  <r>
    <s v="Kill Me, Heal Me"/>
    <x v="10"/>
    <n v="8.6999999999999993"/>
    <n v="118665"/>
    <n v="20"/>
    <d v="1899-12-30T01:02:00"/>
    <s v="Wednesday, Thursday"/>
    <s v="Psychological,Comedy,Romance,Drama"/>
    <s v="Dissociative Identity Disorder,Trauma,Boss-Employee Relationship,Rich Male Lead,Nice Male Lead,Mean Male Lead,Rich Man/Poor Woman,Psychiatrist Female Lead,Doctor Female Lead,Doctor-Patient Relationship"/>
    <s v="Ji Sung,Hwang Jung Eum,Park Seo Joon,Kim Yoo Ri,Oh Min Suk"/>
    <x v="0"/>
  </r>
  <r>
    <s v="Cinderella and the Four Knights"/>
    <x v="0"/>
    <n v="7.8"/>
    <n v="118752"/>
    <n v="16"/>
    <d v="1899-12-30T01:00:00"/>
    <s v="Friday, Saturday"/>
    <s v="Comedy,Romance,Drama"/>
    <s v="Cohabitation,Hardworking Female Lead,Reverse-Harem,Rich Male Lead,Rich Man/Poor Woman,Cold Man/Warm Woman,Multiple Mains,Forbidden Love,First Love,Adapted From A Manhwa"/>
    <s v="Park So Dam,Jung Il Woo,Ahn Jae Hyun,Lee Jung Shin,Choi Shang,Son Na Eun"/>
    <x v="0"/>
  </r>
  <r>
    <s v="She Was Pretty"/>
    <x v="10"/>
    <n v="8"/>
    <n v="117331"/>
    <n v="16"/>
    <d v="1899-12-30T01:00:00"/>
    <s v="Wednesday, Thursday"/>
    <s v="Comedy,Romance,Drama"/>
    <s v="Misunderstanding,Makeover,Hardworking Female Lead,Character Development,Nice Female Lead,Mean Male Lead,Sassy Female Lead,Unrequited Love,First Love,Hidden Identity"/>
    <s v="Hwang Jung Eum,Park Seo Joon,Go Joon Hee,Choi Si Won"/>
    <x v="0"/>
  </r>
  <r>
    <s v="Doom at Your Service"/>
    <x v="6"/>
    <n v="8.4"/>
    <n v="115340"/>
    <n v="16"/>
    <d v="1899-12-30T01:05:00"/>
    <s v="Monday, Tuesday"/>
    <s v="Comedy,Romance,Drama,Fantasy"/>
    <s v="Terminal Illness,Illness,Brain Cancer,Supernatural Power,Hardworking Female Lead,Fate,Unlucky Female Lead,First Love,Glioblastoma,Eccentric Male Lead"/>
    <s v="Park Bo Young,Seo In Guk,Lee Soo Hyuk,Kang Tae Oh,Shin Do Hyun"/>
    <x v="1"/>
  </r>
  <r>
    <s v="Tale of the Nine-Tailed"/>
    <x v="1"/>
    <n v="8.3000000000000007"/>
    <n v="115256"/>
    <n v="16"/>
    <d v="1899-12-30T01:10:00"/>
    <s v="Wednesday, Thursday"/>
    <s v="Thriller,Horror,Romance,Fantasy"/>
    <s v="Nine-tailed Fox,Reincarnation,Supernatural,Sibling Rivalry,Fated Love,Bromance,Interspecies Romance,Mythical Being,Hardworking Female Lead,Smart Female Lead"/>
    <s v="Lee Dong Wook,Jo Bo Ah,Kim Bum"/>
    <x v="1"/>
  </r>
  <r>
    <s v="The Glory"/>
    <x v="4"/>
    <n v="8.9"/>
    <n v="115593"/>
    <n v="8"/>
    <d v="1899-12-30T00:50:00"/>
    <s v="Friday"/>
    <s v="Thriller,Drama,Melodrama"/>
    <s v="Revenge,School Bullying,School Violence,Sexual Content,Social Issues,Doctor Male Lead,Time Skip,Antiheroine Female Lead,Nonlinear Narrative,Teacher Female Lead"/>
    <s v="Song Hye Kyo,Lee Do Hyun,Im Ji Yeon,Yeom Hye Ran,Park Sung Hoon,Jung Sung Il"/>
    <x v="1"/>
  </r>
  <r>
    <s v="The King: Eternal Monarch"/>
    <x v="1"/>
    <n v="8.1"/>
    <n v="113545"/>
    <n v="16"/>
    <d v="1899-12-30T01:10:00"/>
    <s v="Friday, Saturday"/>
    <s v="Mystery,Romance,Drama,Sci-Fi"/>
    <s v="Parallel Universe,Doppelganger,Male Lead Saves Female Lead,Royalty,Male Chases Female First,Murder,Monarchy,Treason,Rich Male Lead,Greed"/>
    <s v="Lee Min Ho,Kim Go Eun,Woo Do Hwan,Lee Jung Jin,Kim Kyung Nam,Jung Eun Chae"/>
    <x v="1"/>
  </r>
  <r>
    <s v="Twenty-Five Twenty-One"/>
    <x v="4"/>
    <n v="8.8000000000000007"/>
    <n v="112814"/>
    <n v="16"/>
    <d v="1899-12-30T01:15:00"/>
    <s v="Saturday, Sunday"/>
    <s v="Romance,Life,Drama,Melodrama"/>
    <s v="Coming Of Age,Nostalgia,Fencing,Nice Male Lead,Friendship,Character Development,Competition,IMF Crisis,High School To Working Life,Reporter Male Lead"/>
    <s v="Kim Tae Ri,Nam Joo Hyuk,Bona,Choi Hyun Wook,Lee Jo Myung"/>
    <x v="1"/>
  </r>
  <r>
    <s v="Move To Heaven"/>
    <x v="6"/>
    <n v="9.1"/>
    <n v="112905"/>
    <n v="10"/>
    <d v="1899-12-30T00:52:00"/>
    <s v="Friday"/>
    <s v="Life,Drama"/>
    <s v="Uncle-Nephew Relationship,Autism,Death,Tearjerker,Savant Syndrome,Life Lesson,Asperger‚Äôs Syndrome,Autistic Male Lead,Smart Male Lead,Murder"/>
    <s v="Lee Je Hoon,Tang Jun Sang,Hong Seung Hee"/>
    <x v="1"/>
  </r>
  <r>
    <s v="Start-Up"/>
    <x v="1"/>
    <n v="8.1"/>
    <n v="111863"/>
    <n v="16"/>
    <d v="1899-12-30T01:25:00"/>
    <s v="Saturday, Sunday"/>
    <s v="Business,Comedy,Romance,Youth"/>
    <s v="Competition,Unrequited Love,Hardworking Male Lead,Hardworking Female Lead,Artificial Intelligence,Nice Female Lead,Love Triangle,Raised By Grandmother,Grandma-Granddaughter Relationship,Sibling Rivalry"/>
    <s v="Bae Suzy,Nam Joo Hyuk,Kim Seon Ho,Kang Han Na"/>
    <x v="1"/>
  </r>
  <r>
    <s v="Touch Your Heart"/>
    <x v="3"/>
    <n v="8.1999999999999993"/>
    <n v="111341"/>
    <n v="16"/>
    <d v="1899-12-30T01:10:00"/>
    <s v="Wednesday, Thursday"/>
    <s v="Comedy,Law,Romance,Drama"/>
    <s v="Hardworking Male Lead,Hardworking Female Lead,Nice Male Lead,Calm Male Lead,Opposites Attract,Smart Male Lead,Smart Female Lead,Naive Female Lead,Entertainment Industry,Successful Male Lead"/>
    <s v="Lee Dong Wook,Yoo In Na,Lee Sang Woo,Son Sung Yoon"/>
    <x v="2"/>
  </r>
  <r>
    <s v="My Name"/>
    <x v="6"/>
    <n v="8.6999999999999993"/>
    <n v="109078"/>
    <n v="8"/>
    <d v="1899-12-30T00:50:00"/>
    <s v="Friday"/>
    <s v="Action,Thriller,Mystery,Crime"/>
    <s v="Criminal Organization,Badass Female Lead,Revenge,Murder,Trauma,Hidden Identity,Gang,Double Identity,Noir,Death"/>
    <s v="Han So Hee,Park Hee Soon,Ahn Bo Hyun"/>
    <x v="1"/>
  </r>
  <r>
    <s v="Hwarang"/>
    <x v="0"/>
    <n v="8"/>
    <n v="108253"/>
    <n v="20"/>
    <d v="1899-12-30T01:00:00"/>
    <s v="Monday, Tuesday"/>
    <s v="Action,Historical,Comedy,Romance"/>
    <s v="Hwarang,Bromance,Love Triangle,Identity Swap,Silla Dynasty,Competition,Jinheung,Nice Male Lead,Hardworking Male Lead,Death"/>
    <s v="Park Seo Joon,Go A Ra,Park Hyung Sik"/>
    <x v="0"/>
  </r>
  <r>
    <s v="The Uncanny Counter"/>
    <x v="1"/>
    <n v="8.8000000000000007"/>
    <n v="107940"/>
    <n v="16"/>
    <d v="1899-12-30T01:10:00"/>
    <s v="Saturday, Sunday"/>
    <s v="Action,Mystery,Drama,Supernatural"/>
    <s v="Found Family,Righteous Male Lead,Evil Spirit,Teamwork,Orphan Male Lead,Multiple Mains,Spirit,Nice Male Lead,Hidden Identity,School Bullying"/>
    <s v="Cho Byeong Kyu,Yoo Joon Sang,Kim Se Jeong,Yeom Hye Ran,Ahn Suk Hwan"/>
    <x v="1"/>
  </r>
  <r>
    <s v="Cheese in the Trap"/>
    <x v="0"/>
    <n v="7.4"/>
    <n v="107382"/>
    <n v="16"/>
    <d v="1899-12-30T01:05:00"/>
    <s v="Monday, Tuesday"/>
    <s v="Psychological,Romance,Life,Drama"/>
    <s v="Adapted From A Webtoon,Rich Male Lead,Stalking,Enemies To Lovers,Cold Male Lead,Possessive Male Lead,Love Triangle,School Bullying,Smart Female Lead,Smart Male Lead"/>
    <s v="Kim Go Eun,Park Hae Jin,Seo Kang Joon,Lee Sung Kyung"/>
    <x v="0"/>
  </r>
  <r>
    <s v="Oh My Venus"/>
    <x v="10"/>
    <n v="8.1999999999999993"/>
    <n v="106826"/>
    <n v="16"/>
    <d v="1899-12-30T01:00:00"/>
    <s v="Monday, Tuesday"/>
    <s v="Comedy,Law,Romance,Life"/>
    <s v="Weight Loss,Makeover,Cohabitation,Bromance,Rich Male Lead,Hidden Identity,Hardworking Male Lead,Hardworking Female Lead,Multiple Couples,Successful Male Lead"/>
    <s v="So Ji Sub,Shin Min Ah,Jung Gyu Woon,Yoo In Young"/>
    <x v="0"/>
  </r>
  <r>
    <s v="Our Beloved Summer"/>
    <x v="6"/>
    <n v="8.6"/>
    <n v="106851"/>
    <n v="16"/>
    <d v="1899-12-30T01:00:00"/>
    <s v="Monday, Tuesday"/>
    <s v="Romance,Life,Youth,Drama"/>
    <s v="Lovers Reunited,High School Sweethearts,First Love,Healing,Flashback To Past,Love/Hate Relationship,Interview,Second Chance Romance,Coming Of Age,Character Development"/>
    <s v="Choi Woo Shik,Kim Da Mi,Kim Sung Cheol,Roh Jeong Eui"/>
    <x v="1"/>
  </r>
  <r>
    <s v="Secret Garden"/>
    <x v="11"/>
    <n v="8.1999999999999993"/>
    <n v="106262"/>
    <n v="20"/>
    <d v="1899-12-30T01:05:00"/>
    <s v="Saturday, Sunday"/>
    <s v="Comedy,Romance,Melodrama,Supernatural"/>
    <s v="Body Swap,Rich Man/Poor Woman,Hardworking Female Lead,Male Chases Female First,Hot-tempered Female Lead,Rich Male Lead,Character Development,Obsessive Male Lead,Love Triangle,Secondary Couple"/>
    <s v="Hyun Bin,Ha Ji Won,Yoon Sang Hyun,Kim Sa Rang"/>
    <x v="3"/>
  </r>
  <r>
    <s v="Mr. Queen"/>
    <x v="1"/>
    <n v="9"/>
    <n v="104211"/>
    <n v="20"/>
    <d v="1899-12-30T01:15:00"/>
    <s v="Saturday, Sunday"/>
    <s v="Historical,Comedy,Romance,Fantasy"/>
    <s v="Transmigration,Sassy Female Lead,Eccentric Female Lead,Joseon Dynasty,Calm Male Lead,Time Travel,Palace Setting,Marriage Of Convenience,Gender Swap,Smart Male Lead"/>
    <s v="Shin Hye Sun,Kim Jung Hyun"/>
    <x v="1"/>
  </r>
  <r>
    <s v="Coffee Prince"/>
    <x v="12"/>
    <n v="8.3000000000000007"/>
    <n v="104033"/>
    <n v="17"/>
    <d v="1899-12-30T01:00:00"/>
    <s v="Monday, Tuesday"/>
    <s v="Food,Comedy,Romance,Drama"/>
    <s v="Cross-Dressing,Hidden Identity,Boss-Employee Relationship,Family Pressure,Hardworking Female Lead,Eccentric Female Lead,Barista Female Lead,Tomboy Female Lead,Character Development,Rich Man/Poor Woman"/>
    <s v="Gong Yoo,Yoon Eun Hye,Lee Sun Kyun,Chae Jung An"/>
    <x v="3"/>
  </r>
  <r>
    <s v="King The Land"/>
    <x v="13"/>
    <n v="8.1999999999999993"/>
    <n v="103492"/>
    <n v="16"/>
    <d v="1899-12-30T01:11:00"/>
    <s v="Saturday, Sunday"/>
    <s v="Comedy,Romance"/>
    <s v="Hotel Setting,Male Chases Female First,Best Friends' Relationship,Hardworking Female Lead,Workplace Setting,Rich Male Lead,Secondary Couple,Opposites Attract,Sibling Rivalry,Hotel Management"/>
    <s v="Lee Jun Ho,Im Yoon Ah"/>
    <x v="4"/>
  </r>
  <r>
    <s v="Oh My Ghost"/>
    <x v="10"/>
    <n v="8.3000000000000007"/>
    <n v="102877"/>
    <n v="16"/>
    <d v="1899-12-30T01:00:00"/>
    <s v="Friday, Saturday"/>
    <s v="Thriller,Comedy,Romance,Supernatural"/>
    <s v="Boss-Employee Relationship,Identity Swap,Hardworking Male Lead,Successful Male Lead,Ghost-seeing Female Lead,Sismance,Love Triangle,Cold Man/Warm Woman,Female Chases Male First,Shamanism"/>
    <s v="Park Bo Young,Jo Jung Suk,Im Joo Hwan,Kim Seul Gi"/>
    <x v="0"/>
  </r>
  <r>
    <s v="Weak Hero Class 1"/>
    <x v="4"/>
    <n v="9.1"/>
    <n v="102071"/>
    <n v="8"/>
    <d v="1899-12-30T00:40:00"/>
    <s v="Friday"/>
    <s v="Action,Youth,Drama"/>
    <s v="Teenager Male Lead,Violence,Friendship,School Bullying,Skilled Fighter,School Setting,Social Issues,Bromance,High School,Introverted Male Lead"/>
    <s v="Park Ji Hoon,Choi Hyun Wook,Hong Kyung,Kim Su Gyeom"/>
    <x v="1"/>
  </r>
  <r>
    <s v="Nevertheless"/>
    <x v="6"/>
    <n v="7.4"/>
    <n v="101676"/>
    <n v="10"/>
    <d v="1899-12-30T01:08:00"/>
    <s v="Saturday"/>
    <s v="Romance,Life,Youth,Drama"/>
    <s v="Multiple Couples,Love Triangle,Playboy Male Lead,Adapted From A Webtoon,Friends With Benefits,Inner Monologue,Sexual Content,Fast Paced Romance,Playful Male Lead,Flirty Male Lead"/>
    <s v="Han So Hee,Song Kang,Chae Jong Hyeop,Lee Yeol Eum,Yang Hye Ji"/>
    <x v="1"/>
  </r>
  <r>
    <s v="All of Us Are Dead"/>
    <x v="4"/>
    <n v="8.5"/>
    <n v="101710"/>
    <n v="12"/>
    <d v="1899-12-30T01:02:00"/>
    <s v="Friday"/>
    <s v="Action,Thriller,Horror,Sci-Fi"/>
    <s v="Survival,Zombies,Death,Zombie Apocalypse,Virus,Gore,Slight Romance,High School,Friendship,School Bullying"/>
    <s v="Park Ji Hu,Yoon Chan Young,Lomon,Cho Yi Hyun"/>
    <x v="1"/>
  </r>
  <r>
    <s v="A Korean Odyssey"/>
    <x v="5"/>
    <n v="8.1999999999999993"/>
    <n v="101149"/>
    <n v="20"/>
    <d v="1899-12-30T01:20:00"/>
    <s v="Saturday, Sunday"/>
    <s v="Horror,Comedy,Romance,Fantasy"/>
    <s v="Ghost-seeing Female Lead,Supernatural Power,Demon,Aggressive Male Lead,Ghost,Love/Hate Relationship,Eccentric Male Lead,Bromance,Mean Male Lead,Adapted From A Novel"/>
    <s v="Lee Seung Gi,Cha Seung Won,Oh Yeon Seo,Lee Hong Ki,Jang Gwang"/>
    <x v="2"/>
  </r>
  <r>
    <s v="Abyss"/>
    <x v="3"/>
    <n v="7.8"/>
    <n v="100611"/>
    <n v="16"/>
    <d v="1899-12-30T01:00:00"/>
    <s v="Monday, Tuesday"/>
    <s v="Mystery,Comedy,Romance,Fantasy"/>
    <s v="Murder,Reincarnation,Nice Male Lead,Death,Hidden Identity,Investigation,Supernatural,Age Gap [Real Life],Hardworking Female Lead,Smart Female Lead"/>
    <s v="Park Bo Young,Ahn Hyo Seop"/>
    <x v="2"/>
  </r>
  <r>
    <s v="My Demon"/>
    <x v="13"/>
    <n v="8.1999999999999993"/>
    <n v="100446"/>
    <n v="16"/>
    <d v="1899-12-30T01:06:00"/>
    <s v="Friday, Saturday"/>
    <s v="Action,Comedy,Romance,Fantasy"/>
    <s v="Demon Male Lead,Supernatural,Heiress Female Lead,Supernatural Power,Sassy Female Lead,Contract Relationship,Rich Female Lead,Age Gap [Real Life],Orphan Female Lead,Interspecies Romance"/>
    <s v="Kim You Jung,Song Kang"/>
    <x v="4"/>
  </r>
  <r>
    <s v="Tomorrow"/>
    <x v="4"/>
    <n v="8.8000000000000007"/>
    <n v="99622"/>
    <n v="16"/>
    <d v="1899-12-30T01:00:00"/>
    <s v="Friday, Saturday"/>
    <s v="Action,Thriller,Drama,Fantasy"/>
    <s v="Grim Reaper Female Lead,Grim Reaper Male Lead,Underworld,Attempted Suicide,Death,Suicide,Afterlife,Suicide Prevention,Coma,Team Leader Female Lead"/>
    <s v="Kim Hee Sun,Ro Woon,Lee Soo Hyuk,Yun Jin On"/>
    <x v="1"/>
  </r>
  <r>
    <s v="Run On"/>
    <x v="1"/>
    <n v="8.1999999999999993"/>
    <n v="98094"/>
    <n v="16"/>
    <d v="1899-12-30T01:10:00"/>
    <s v="Wednesday, Thursday"/>
    <s v="Romance,Life,Drama,Sports"/>
    <s v="Calm Male Lead,Multiple Couples,Nice Male Lead,Hardworking Female Lead,Eccentric Male Lead,Smart Female Lead,Famous Male Lead,Father-Son Relationship,Translator Female Lead,Healing"/>
    <s v="Yim Si Wan,Shin Sae Kyeong,Choi Soo Young,Kang Tae Oh"/>
    <x v="1"/>
  </r>
  <r>
    <s v="Happiness"/>
    <x v="6"/>
    <n v="8.8000000000000007"/>
    <n v="98169"/>
    <n v="12"/>
    <d v="1899-12-30T01:05:00"/>
    <s v="Friday, Saturday"/>
    <s v="Action,Thriller,Drama,Sci-Fi"/>
    <s v="Infectious Disease,Quarantine,Detective Male Lead,Virus,Slow Burn Romance,Survival,Healthy Mains‚Äô Relationship,Illness,Determined Female Lead,Smart Male Lead"/>
    <s v="Han Hyo Joo,Park Hyung Sik,Jo Woo Jin"/>
    <x v="1"/>
  </r>
  <r>
    <s v="Twinkling Watermelon"/>
    <x v="13"/>
    <n v="9.1999999999999993"/>
    <n v="98619"/>
    <n v="16"/>
    <d v="1899-12-30T01:10:00"/>
    <s v="Monday, Tuesday"/>
    <s v="Romance,Youth,Drama,Fantasy"/>
    <s v="Time Travel,Child From The Future,Sign Language,Father-Son Relationship,Deafness,1990s,Music,Coming Of Age,Friendship,Comedy"/>
    <s v="Ryeoun,Choi Hyun Wook,Seol In Ah,Shin Eun Soo"/>
    <x v="4"/>
  </r>
  <r>
    <s v="The Bride of Habaek"/>
    <x v="5"/>
    <n v="7.4"/>
    <n v="97361"/>
    <n v="16"/>
    <d v="1899-12-30T01:10:00"/>
    <s v="Monday, Tuesday"/>
    <s v="Comedy,Romance,Drama,Fantasy"/>
    <s v="Interspecies Romance,Steamy Kiss,Supernatural Power,Poor Female Lead,Eccentric Male Lead,Arrogant Male Lead,Healing,Elemental Power,Orphan Female Lead,Supernatural"/>
    <s v="Shin Sae Kyeong,Nam Joo Hyuk,Im Joo Hwan,Krystal Jung,Gong Myung"/>
    <x v="2"/>
  </r>
  <r>
    <s v="Vagabond"/>
    <x v="3"/>
    <n v="8.5"/>
    <n v="97211"/>
    <n v="16"/>
    <d v="1899-12-30T01:10:00"/>
    <s v="Friday, Saturday"/>
    <s v="Action,Thriller,Mystery,Crime"/>
    <s v="Corruption,Death,Revenge,National Intelligence Service,Blackmail,Teamwork,Power Struggle,Smart Male Lead,Slow Burn Romance,Conspiracy"/>
    <s v="Lee Seung Gi,Bae Suzy,Shin Sung Rok"/>
    <x v="2"/>
  </r>
  <r>
    <s v="Angel's Last Mission: Love"/>
    <x v="3"/>
    <n v="8.4"/>
    <n v="96957"/>
    <n v="32"/>
    <d v="1899-12-30T00:35:00"/>
    <s v="Wednesday, Thursday"/>
    <s v="Comedy,Romance,Drama,Fantasy"/>
    <s v="Nice Male Lead,Warm Man/Cold Woman,Orphan Female Lead,Opposites Attract,Ballet,Tearjerker,Rich Female Lead,Male Chases Female First,Cohabitation,Hidden Identity"/>
    <s v="L,Shin Hye Sun,Lee Dong Gun,Kim Bo Mi"/>
    <x v="2"/>
  </r>
  <r>
    <s v="I Hear Your Voice"/>
    <x v="8"/>
    <n v="8.5"/>
    <n v="96680"/>
    <n v="18"/>
    <d v="1899-12-30T01:00:00"/>
    <s v="Wednesday, Thursday"/>
    <s v="Mystery,Law,Romance,Supernatural"/>
    <s v="Revenge,Smart Female Lead,Trauma,Older Woman/Younger Man,Male Chases Female First,Mind Reading,Cohabitation,Love Triangle,Death,Orphan Male Lead"/>
    <s v="Lee Jong Suk,Lee Bo Young,Yoon Sang Hyun,Lee Da Hee"/>
    <x v="0"/>
  </r>
  <r>
    <s v="He Is Psychometric"/>
    <x v="3"/>
    <n v="8.3000000000000007"/>
    <n v="96254"/>
    <n v="16"/>
    <d v="1899-12-30T01:04:00"/>
    <s v="Monday, Tuesday"/>
    <s v="Thriller,Mystery,Romance,Supernatural"/>
    <s v="Psychometry,Nice Male Lead,Smart Female Lead,Bromance,Death,Slow Romance,Sassy Female Lead,Investigation,Supernatural Power,Airhead Male Lead"/>
    <s v="Park Jin Young,Shin Ye Eun,Kim Kwon,Kim Da Som"/>
    <x v="2"/>
  </r>
  <r>
    <s v="My Secret Romance"/>
    <x v="5"/>
    <n v="7.6"/>
    <n v="95779"/>
    <n v="13"/>
    <d v="1899-12-30T01:00:00"/>
    <s v="Monday, Tuesday"/>
    <s v="Comedy,Romance,Life,Drama"/>
    <s v="One-night Stand,Rich Man/Poor Woman,Boss-Employee Relationship,Fast Paced Romance,Rich Male Lead,Cooking,Love Triangle,Mother-Daughter Relationship,Mean Male Lead,Meet Again"/>
    <s v="Sung Hoon,Song Ji Eun,Kim Jae Young,Jung Da Sol"/>
    <x v="2"/>
  </r>
  <r>
    <s v="My Roommate Is a Gumiho"/>
    <x v="6"/>
    <n v="8.3000000000000007"/>
    <n v="94650"/>
    <n v="16"/>
    <d v="1899-12-30T01:10:00"/>
    <s v="Wednesday, Thursday"/>
    <s v="Comedy,Romance,Fantasy"/>
    <s v="Calm Male Lead,Straightforward Female Lead,Cohabitation,Adapted From A Webtoon,Nine-tailed Fox,Friendship,Supernatural,Multiple Mains,Nice Male Lead,Multiple Couples"/>
    <s v="Jang Ki Yong,Lee Hye Ri,Kang Han Na,Kim Do Wan,Bae In Hyuk"/>
    <x v="1"/>
  </r>
  <r>
    <s v="Lovely Runner"/>
    <x v="14"/>
    <n v="9"/>
    <n v="95003"/>
    <n v="16"/>
    <d v="1899-12-30T01:10:00"/>
    <s v="Monday, Tuesday"/>
    <s v="Music,Comedy,Romance,Fantasy"/>
    <s v="Butterfly Effect,Second Chance,Time Travel,Passionate Male Lead,Time Altering,Famous Male Lead,Love At First Sight,Determined Female Lead,Age Gap [Real Life],Past And Present"/>
    <s v="Byeon Woo Seok,Kim Hye Yoon,Song Geon Hee,Lee Seung Hyub"/>
    <x v="4"/>
  </r>
  <r>
    <s v="It's Okay, That's Love"/>
    <x v="9"/>
    <n v="8.6"/>
    <n v="93742"/>
    <n v="16"/>
    <d v="1899-12-30T01:00:00"/>
    <s v="Wednesday, Thursday"/>
    <s v="Comedy,Romance,Drama,Melodrama"/>
    <s v="Trauma,Healing,Cohabitation,Rich Male Lead,Hallucination,Cheerful Male Lead,Tourette Syndrome,Male Chases Female First,Heartbreak,Psychiatrist Female Lead"/>
    <s v="Zo In Sung,Gong Hyo Jin"/>
    <x v="0"/>
  </r>
  <r>
    <s v="You're Beautiful"/>
    <x v="7"/>
    <n v="8"/>
    <n v="93683"/>
    <n v="16"/>
    <d v="1899-12-30T01:05:00"/>
    <s v="Wednesday, Thursday"/>
    <s v="Music,Comedy,Romance,Drama"/>
    <s v="Gender Bender,Cross-Dressing,Identity Swap,Singing,Love Triangle,Twin Exchange,Bromance,Cold Male Lead,Nice Female Lead,Cold Man/Warm Woman"/>
    <s v="Jang Geun Suk,Park Shin Hye,Jung Yong Hwa,Lee Hong Ki"/>
    <x v="3"/>
  </r>
  <r>
    <s v="Just Between Lovers"/>
    <x v="5"/>
    <n v="8.5"/>
    <n v="93464"/>
    <n v="16"/>
    <d v="1899-12-30T01:13:00"/>
    <s v="Monday, Tuesday"/>
    <s v="Psychological,Romance,Melodrama"/>
    <s v="Trauma,Orphan Male Lead,Healing,Death,Hardworking Female Lead,Fated Love,Hardworking Male Lead,Phobia,Poor Male Lead,Disaster"/>
    <s v="Lee Jun Ho,Won Jin A,Lee Ki Woo,Kang Han Na"/>
    <x v="2"/>
  </r>
  <r>
    <s v="Playful Kiss"/>
    <x v="11"/>
    <n v="7.2"/>
    <n v="92398"/>
    <n v="16"/>
    <d v="1899-12-30T01:05:00"/>
    <s v="Wednesday, Thursday"/>
    <s v="Comedy,Romance,Drama"/>
    <s v="Cohabitation,Adapted From A Manga,First Love,Unrequited Love,Mean Male Lead,Female Chases Male First,High School,Love Triangle,Smart Male Lead,Cold Male Lead"/>
    <s v="Kim Hyun Joong,Jung So Min,Lee Tae Sung"/>
    <x v="3"/>
  </r>
  <r>
    <s v="Queen of Tears"/>
    <x v="14"/>
    <n v="8.8000000000000007"/>
    <n v="92911"/>
    <s v="a"/>
    <d v="1899-12-30T01:28:00"/>
    <s v="Saturday, Sunday"/>
    <s v="Comedy,Romance,Life,Drama"/>
    <s v="Rich Family,Company President (CEO) Female Lead,Lawyer Male Lead,Black Comedy,Heiress Female Lead,Second Chance Romance,Married Life,Illness,Conglomerate,Prestigious Family"/>
    <s v="Kim Soo Hyun,Kim Ji Won,Park Sung Hoon,Kwak Dong Yeon,Lee Joo Bin"/>
    <x v="4"/>
  </r>
  <r>
    <s v="City Hunter"/>
    <x v="15"/>
    <n v="8.3000000000000007"/>
    <n v="91101"/>
    <n v="20"/>
    <d v="1899-12-30T01:10:00"/>
    <s v="Wednesday, Thursday"/>
    <s v="Action,Thriller,Crime"/>
    <s v="Hidden Identity,Revenge,Corruption,Adapted From A Manga,Smart Male Lead,Romance,Death,Rich Man/Poor Woman,Bromance,Badass Male Lead"/>
    <s v="Lee Min Ho,Park Min Young,Lee Joon Hyuk,Kim Sang Joong"/>
    <x v="3"/>
  </r>
  <r>
    <s v="The Master's Sun"/>
    <x v="8"/>
    <n v="8.5"/>
    <n v="89772"/>
    <n v="17"/>
    <d v="1899-12-30T01:02:00"/>
    <s v="Wednesday, Thursday"/>
    <s v="Horror,Comedy,Romance,Supernatural"/>
    <s v="Ghost,Eccentric Female Lead,Ghost-seeing Female Lead,Rich Male Lead,Clingy Female Lead,Successful Male Lead,Trauma,Secondary Couple,Eccentric Male Lead,Hidden Identity"/>
    <s v="Gong Hyo Jin,So Ji Sub,Seo In Guk,Kim Yoo Ri"/>
    <x v="0"/>
  </r>
  <r>
    <s v="Who Are You: School 2015"/>
    <x v="10"/>
    <n v="8.1999999999999993"/>
    <n v="89619"/>
    <n v="16"/>
    <d v="1899-12-30T01:00:00"/>
    <s v="Monday, Tuesday"/>
    <s v="Mystery,Romance,Youth,Drama"/>
    <s v="Identity Swap,School Bullying,School Problems,High School,Amnesia,Love Triangle,Trauma,Hidden Identity,Orphan Female Lead,Tearjerker"/>
    <s v="Kim So Hyun,Nam Joo Hyuk,Yook Sung Jae"/>
    <x v="0"/>
  </r>
  <r>
    <s v="The Beauty Inside"/>
    <x v="2"/>
    <n v="8.3000000000000007"/>
    <n v="89618"/>
    <n v="16"/>
    <d v="1899-12-30T01:10:00"/>
    <s v="Monday, Tuesday"/>
    <s v="Comedy,Romance,Melodrama,Supernatural"/>
    <s v="Prosopagnosia,Successful Male Lead,Calm Male Lead,Secondary Couple,Contract Relationship,Famous Female Lead,Rich Female Lead,Rich Male Lead,Sismance,Secret"/>
    <s v="Seo Hyun Jin,Lee Min Ki,Lee Da Hee,Ahn Jae Hyun"/>
    <x v="2"/>
  </r>
  <r>
    <s v="Love in the Moonlight"/>
    <x v="0"/>
    <n v="8.1999999999999993"/>
    <n v="88407"/>
    <n v="18"/>
    <d v="1899-12-30T00:59:00"/>
    <s v="Monday, Tuesday"/>
    <s v="Historical,Comedy,Romance,Drama"/>
    <s v="Cross-Dressing,Joseon Dynasty,Hidden Identity,First Love,Male Chases Female First,Lovers Separated,Forbidden Love,Opposites Attract,Royalty,Bromance"/>
    <s v="Park Bo Gum,Kim You Jung,Jung Jin Young,Kwak Dong Yeon,Chae Soo Bin"/>
    <x v="0"/>
  </r>
  <r>
    <s v="Bring It On, Ghost"/>
    <x v="0"/>
    <n v="8.1"/>
    <n v="87779"/>
    <n v="16"/>
    <d v="1899-12-30T01:00:00"/>
    <s v="Monday, Tuesday"/>
    <s v="Horror,Comedy,Romance,Supernatural"/>
    <s v="Ghost,Ghost-seeing Male Lead,Exorcism,Interspecies Romance,Nice Male Lead,Badass Female Lead,Adapted From A Webtoon,Sassy Female Lead,Bromance,Death"/>
    <s v="Ok Taec Yeon,Kim So Hyun,Kwon Yul"/>
    <x v="0"/>
  </r>
  <r>
    <s v="Signal"/>
    <x v="0"/>
    <n v="8.9"/>
    <n v="87499"/>
    <n v="16"/>
    <d v="1899-12-30T01:15:00"/>
    <s v="Friday, Saturday"/>
    <s v="Thriller,Mystery,Sci-Fi"/>
    <s v="Different Timelines,Butterfly Effect,Murder,Hwaseong Serial Murders,Suspense,Investigation,Death,Corruption,Time Altering,Smart Female Lead"/>
    <s v="Lee Je Hoon,Kim Hye Soo,Jo Jin Woong"/>
    <x v="0"/>
  </r>
  <r>
    <s v="Uncontrollably Fond"/>
    <x v="0"/>
    <n v="8.1"/>
    <n v="86949"/>
    <n v="20"/>
    <d v="1899-12-30T01:00:00"/>
    <s v="Wednesday, Thursday"/>
    <s v="Comedy,Romance,Drama,Melodrama"/>
    <s v="Terminal Illness,Tearjerker,Male Chases Female First,Poor Female Lead,Star Crossed Lovers,Rich Male Lead,Illness,Age Gap [Real Life],Singer Male Lead,Naive Female Lead"/>
    <s v="Kim Woo Bin,Bae Suzy,Im Joo Hwan,Im Ju Eun"/>
    <x v="0"/>
  </r>
  <r>
    <s v="Prison Playbook"/>
    <x v="5"/>
    <n v="8.9"/>
    <n v="86122"/>
    <n v="16"/>
    <d v="1899-12-30T01:32:00"/>
    <s v="Wednesday, Thursday"/>
    <s v="Comedy,Crime,Life,Drama"/>
    <s v="Life Lesson,Prison Setting,Bromance,Wrongfully Accused,Character Development,Slight Romance,Best Friends' Relationship,Murder,Prisoner Male Lead,Black Comedy"/>
    <s v="Park Hae Soo,Jung Kyung Ho"/>
    <x v="2"/>
  </r>
  <r>
    <s v="The Glory Part 2"/>
    <x v="13"/>
    <n v="9"/>
    <n v="85137"/>
    <n v="8"/>
    <d v="1899-12-30T00:55:00"/>
    <s v="Friday"/>
    <s v="Thriller,Drama,Melodrama"/>
    <s v="Revenge,Graphic Violence,Brief Nudity,Domestic Violence,Suspense,Nudity,Trauma,Sexual Assault,Perpetrator-Victim Relationship,Doctor Male Lead"/>
    <s v="Song Hye Kyo,Lee Do Hyun,Im Ji Yeon,Yeom Hye Ran,Park Sung Hoon,Jung Sung Il"/>
    <x v="4"/>
  </r>
  <r>
    <s v="Extracurricular"/>
    <x v="1"/>
    <n v="8.3000000000000007"/>
    <n v="84878"/>
    <n v="10"/>
    <d v="1899-12-30T00:55:00"/>
    <s v="Wednesday"/>
    <s v="Psychological,Crime,Youth,Drama"/>
    <s v="Sex Trafficking,Prostitution,Illegal Business,High School,Smart Male Lead,Violence,Rich Female Lead,School Bullying,Slight Romance,Child Abandonment"/>
    <s v="Kim Dong Hee,Park Ju Hyun,Jung Da Bin,Nam Yoon Su"/>
    <x v="1"/>
  </r>
  <r>
    <s v="My Mister"/>
    <x v="2"/>
    <n v="9"/>
    <n v="84371"/>
    <n v="16"/>
    <d v="1899-12-30T01:17:00"/>
    <s v="Wednesday, Thursday"/>
    <s v="Psychological,Life,Drama"/>
    <s v="Nice Male Lead,Depression,Healing,Poor Female Lead,Infidelity,Power Struggle,Grandma-Granddaughter Relationship,Smart Female Lead,Warm Man/Cold Woman,Corruption"/>
    <s v="Lee Sun Kyun,IU"/>
    <x v="2"/>
  </r>
  <r>
    <s v="Dream High"/>
    <x v="15"/>
    <n v="8"/>
    <n v="83783"/>
    <n v="16"/>
    <d v="1899-12-30T01:10:00"/>
    <s v="Monday, Tuesday"/>
    <s v="Music,Comedy,Romance,Drama"/>
    <s v="High School,School Bullying,Love Triangle,Character Development,Youth,Friends To Lovers,Multiple Mains,Cohabitation,Weight Loss,Friendship"/>
    <s v="Bae Suzy,Kim Soo Hyun,Ok Taec Yeon,Ham Eun Jung,Jang Woo Young,IU"/>
    <x v="3"/>
  </r>
  <r>
    <s v="18 Again"/>
    <x v="1"/>
    <n v="8.6"/>
    <n v="83582"/>
    <n v="16"/>
    <d v="1899-12-30T01:10:00"/>
    <s v="Monday, Tuesday"/>
    <s v="Romance,Life,Drama,Fantasy"/>
    <s v="First Love,Father-Son Relationship,Father-Daughter Relationship,Hardworking Female Lead,Mother-Daughter Relationship,Life Lesson,Becoming Young,Hidden Identity,Character Development,Teenage Pregnancy"/>
    <s v="Kim Ha Neul,Yoon Sang Hyun,Lee Do Hyun"/>
    <x v="1"/>
  </r>
  <r>
    <s v="Something in the Rain"/>
    <x v="2"/>
    <n v="8"/>
    <n v="83265"/>
    <n v="16"/>
    <d v="1899-12-30T01:15:00"/>
    <s v="Friday, Saturday"/>
    <s v="Business,Romance,Life,Melodrama"/>
    <s v="Family Pressure,Nice Male Lead,Forbidden Love,Older Woman/Younger Man,Sexual Harassment,Male Chases Female First,Disapproving Parent,Secret Relationship,Family Dispute,Sismance"/>
    <s v="Son Ye Jin,Jung Hae In"/>
    <x v="2"/>
  </r>
  <r>
    <s v="Doctor Strange"/>
    <x v="9"/>
    <n v="7.9"/>
    <n v="82611"/>
    <n v="20"/>
    <d v="1899-12-30T01:00:00"/>
    <s v="Monday, Tuesday"/>
    <s v="Thriller,Romance,Drama,Medical"/>
    <s v="Nice Male Lead,Love Triangle,Scheme,Hidden Identity,Love Square,Kidnapping,Second Chance,Emotionally Strong Female Lead,Emotionally Strong Male Lead,North Korean Female Lead"/>
    <s v="Lee Jong Suk,Jin Se Yeon,Kang So Ra,Park Hae Jin"/>
    <x v="0"/>
  </r>
  <r>
    <m/>
    <x v="16"/>
    <m/>
    <m/>
    <m/>
    <m/>
    <m/>
    <m/>
    <m/>
    <m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Goblin"/>
    <x v="0"/>
    <n v="8.8000000000000007"/>
    <n v="254985"/>
    <n v="16"/>
    <d v="1899-12-30T01:22:00"/>
    <s v="Friday, Saturday"/>
    <s v="Comedy,Romance,Fantasy,Melodrama"/>
    <s v="Older Man/Younger Woman,Interspecies Romance,Dokkaebi,Fate,Bromance,Death,Tearjerker,Supernatural,Age Gap,Secondary Couple"/>
    <s v="Gong Yoo,Kim Go Eun,Lee Dong Wook,Yoo In Na,Yook Sung Jae"/>
    <s v="Growth Era (2013-2016)"/>
  </r>
  <r>
    <s v="Strong Woman Do Bong Soon"/>
    <x v="0"/>
    <n v="8.6999999999999993"/>
    <n v="239773"/>
    <n v="16"/>
    <d v="1899-12-30T01:07:00"/>
    <s v="Friday, Saturday"/>
    <s v="Action,Comedy,Romance,Supernatural"/>
    <s v="Superhuman Strenght,Love Triangle,Nice Male Lead,Father-Daughter Relationship,Rich Male Lead,Badass Female Lead,Bromance"/>
    <s v="Park Bo Young,Park Hyung Sik,Kim Ji Soo"/>
    <s v="Growth Era (2013-2016)"/>
  </r>
  <r>
    <s v="It's Okay to Not Be Okay"/>
    <x v="1"/>
    <n v="8.9"/>
    <n v="215957"/>
    <n v="16"/>
    <d v="1899-12-30T01:15:00"/>
    <s v="Saturday, Sunday"/>
    <s v="Psychological,Comedy,Romance,Drama"/>
    <s v="Independent Female Lead,Possessive Female Lead,Successful Female Lead,Healing,Melodrama,Selfless Male Lead,Badass Female Lead,Childhood Connection,Trauma,Mental Illness"/>
    <s v="Kim Soo Hyun,Seo Yea Ji,Oh Jung Se"/>
    <s v="Streaming Era (2020-2022)"/>
  </r>
  <r>
    <s v="Descendants of the Sun"/>
    <x v="0"/>
    <n v="8.6"/>
    <n v="213187"/>
    <n v="16"/>
    <d v="1899-12-30T01:00:00"/>
    <s v="Wednesday, Thursday"/>
    <s v="Action,Comedy,Romance,Supernatural"/>
    <s v="Military,Bromance,Multiple Couples,Hardworking Male Lead,Medical,Gun Violence,Harworking Female Lead,Father-Daughter Relationship,Friendship,Filmed Abroad"/>
    <s v="Song Joong Ki,Song Hye Kyo,Jin Goo,Kim Ji Won"/>
    <s v="Growth Era (2013-2016)"/>
  </r>
  <r>
    <s v="What's Wrong with Secretary Kim"/>
    <x v="2"/>
    <n v="8.5"/>
    <n v="212766"/>
    <n v="16"/>
    <d v="1899-12-30T01:09:00"/>
    <s v="Wednesday, Thursday"/>
    <s v="Business,Comedy,Romance"/>
    <s v="Boss-Employee Relationship,Rich Male Lead,Adapted From A Webtoon,Male Chases Female First,Calm Female Lead,Smart Female Lead,Trauma,Phobia,Narcissistic Male Lead,First Love"/>
    <s v="Park Min Young,Park Seo Joon"/>
    <s v="Peak Era (2017-2019)"/>
  </r>
  <r>
    <s v="Weightlifting Fairy Kim Bok Joo"/>
    <x v="0"/>
    <n v="8.8000000000000007"/>
    <n v="212406"/>
    <n v="16"/>
    <d v="1899-12-30T01:00:00"/>
    <s v="Wednesday, Thursday"/>
    <s v="Comedy,Romance,Life,Sports"/>
    <s v="Friends To Lovers,Weightlifting,Healing,First Love,Bantering Relationship,Male Chases Female First,Swimmingm Slow Burn Romance,Sismance,Healthy Mains' Relationship"/>
    <s v="Lee Sung Kyung,Nam Joo Hyuk,Lee Jae Yoon,Kyung Soo Jin"/>
    <s v="Growth Era (2013-2016)"/>
  </r>
  <r>
    <s v="Crash Landing on You"/>
    <x v="3"/>
    <n v="9"/>
    <n v="208913"/>
    <n v="16"/>
    <d v="1899-12-30T01:25:00"/>
    <s v="Sunday, Saturday"/>
    <s v="Military,Comedy,Romance,Political"/>
    <s v="North and South Korea,Soldier Male Lead,Army,Rich Female Lead,Soldier Supporting Character,Intercountry Romance,Fate,Nice Male Lead,Army Captain Male Lead,Calm Male Lead"/>
    <s v="Hyun Bin,Son Ye Jin,Seo Ji Hye,Kim Jung Hyun"/>
    <s v="Peak Era (2017-2019)"/>
  </r>
  <r>
    <s v="W"/>
    <x v="0"/>
    <n v="8.5"/>
    <n v="199073"/>
    <n v="16"/>
    <d v="1899-12-30T01:00:00"/>
    <s v="Wednesday, Thursday"/>
    <s v="Thriller,Comedy,Romance,Fantasy"/>
    <s v="Crossworlds Traveler,Attempted Murder,Rich Male Lead,Lovers Separeted,Character Development,Murder,Gun Violence,Revenge,Smart Male Lead,Violence"/>
    <s v="Han Hyo Joo,Lee Jong Suk"/>
    <s v="Growth Era (2013-2016)"/>
  </r>
  <r>
    <s v="Hotel del Luna"/>
    <x v="3"/>
    <n v="8.6"/>
    <n v="183598"/>
    <n v="16"/>
    <d v="1899-12-30T01:19:00"/>
    <s v="Saturday, Sunday"/>
    <s v="Horror,Comedy,Romance,Fantasy"/>
    <s v="Supernatural,Boss-Employee Relationship,Ghost,Ghost-seeing Male Lead,Death,Smart Female Lead,Nice Male Lead,Flashback To Past,Warm Man/Cold Woman"/>
    <s v="IU,Yeo Jin Goo"/>
    <s v="Peak Era (2017-2019)"/>
  </r>
  <r>
    <s v="Business Proposal"/>
    <x v="4"/>
    <n v="8.6999999999999993"/>
    <n v="177633"/>
    <n v="12"/>
    <d v="1899-12-30T01:00:00"/>
    <s v="Monday, Tuesday"/>
    <s v="Comedy,Romance,Drama"/>
    <s v="Boss-Employee Relationship,Secondary Couple,Contract Relationship,Fake Identity,CEO Male Lead,Double Identity,Sismance,Rich Male Lead,Cheerful Female Lead,Rich Man/Poor Woman"/>
    <s v="Ahn Hyo Seop,Kim Se Jeong,Kim Min Gue,Seol In Ah"/>
    <s v="Streaming Era (2020-2022)"/>
  </r>
  <r>
    <s v="While You Were Sleeping"/>
    <x v="5"/>
    <n v="8.6999999999999993"/>
    <n v="176827"/>
    <n v="32"/>
    <d v="1899-12-30T00:30:00"/>
    <s v="Wednesday, Thursday"/>
    <s v="Mystery,Romance,Drama,Supernatural"/>
    <s v="Precognition,Murder,Nice Male Lead,First Love,Investigation,Cheerful Male Lead,Smart Male Lead,Eccentric Female Lead,Comedy,Fated Love"/>
    <s v="Bae Suzy,Lee Jong Suk,Lee Sang Yeob,Jung Hae In"/>
    <s v="Peak Era (2017-2019)"/>
  </r>
  <r>
    <s v="Vincenzo"/>
    <x v="6"/>
    <n v="8.9"/>
    <n v="171730"/>
    <n v="20"/>
    <d v="1899-12-30T01:25:00"/>
    <s v="Saturday, Sunday"/>
    <s v="Comedy,Law,Crime,Drama"/>
    <s v="Mafia,Revenge,Slight Romance,Eccentric Female Lead,Smart Male Lead,Injustice,Black Comedy,Badass Male Lead,Skilled Killer,Corruption"/>
    <s v="Song Joong Ki,Jeon Yeo Been,Ok Taec Yeon"/>
    <s v="Streaming Era (2020-2022)"/>
  </r>
  <r>
    <s v="Boys Over Flowers"/>
    <x v="7"/>
    <n v="7.5"/>
    <n v="169953"/>
    <n v="25"/>
    <d v="1899-12-30T01:05:00"/>
    <s v="Monday, Tuesday"/>
    <s v="Comedy,Romance,Youth,Drama"/>
    <s v="Rich Man/Poor Woman,School Bullying,Love Triangle,Mean Male Lead,Possessive Male Lead,Adapted From A Manga,Reverse-Harem,High School,Disapproving Parent,Male Chases Female First"/>
    <s v="Gu Hye Seon,Lee Min Ho,Kim Hyun Joong,Kim Bum,Kim Joon"/>
    <s v="Early Era (2007-2012)"/>
  </r>
  <r>
    <s v="The Heirs"/>
    <x v="8"/>
    <n v="7.6"/>
    <n v="169096"/>
    <n v="20"/>
    <d v="1899-12-30T01:00:00"/>
    <s v="Wednesday, Thursday"/>
    <s v="Comedy,Romance,Drama,Melodrama"/>
    <s v="High School,Family Pressure,Love Triangle,School Bullying,Rich Male Lead,Rich Man/Poor Woman,Male Chases Female First,Poor Female Lead,Controlling Parent,Sibling Rivalry"/>
    <s v="Lee Min Ho,Park Shin Hye,Kim Woo Bin"/>
    <s v="Growth Era (2013-2016)"/>
  </r>
  <r>
    <s v="My Love from the Star"/>
    <x v="8"/>
    <n v="8.5"/>
    <n v="164412"/>
    <n v="21"/>
    <d v="1899-12-30T00:58:00"/>
    <s v="Wednesday, Thursday"/>
    <s v="Comedy,Romance,Drama,Supernatural"/>
    <s v="Interspecies Romance,Sassy Female Lead,Time Manipulation,Superhuman Strength,Star Crossed Lovers,Smart Male Lead,Airhead Female Lead,Rich Male Lead,Spoiled Female Lead,Opposites Attract"/>
    <s v="Kim Soo Hyun,Jun Ji Hyun,Park Hae Jin,Yoo In Na"/>
    <s v="Growth Era (2013-2016)"/>
  </r>
  <r>
    <s v="True Beauty"/>
    <x v="1"/>
    <n v="8.3000000000000007"/>
    <n v="162611"/>
    <n v="16"/>
    <d v="1899-12-30T01:15:00"/>
    <s v="Wednesday, Thursday"/>
    <s v="Comedy,Romance,Youth,Drama"/>
    <s v="Makeover,Beauty,Popular Male Lead,High School,Adapted From A Webtoon,Beauty Standards,Hidden Identity,Nice Female Lead,Transformation,Secret Crush"/>
    <s v="Mun Ka Young,Cha Eun Woo,Hwang In Youp"/>
    <s v="Streaming Era (2020-2022)"/>
  </r>
  <r>
    <s v="Healer"/>
    <x v="9"/>
    <n v="8.8000000000000007"/>
    <n v="157401"/>
    <n v="20"/>
    <d v="1899-12-30T01:00:00"/>
    <s v="Monday, Tuesday"/>
    <s v="Action,Thriller,Mystery,Romance"/>
    <s v="Double Identity,Hidden Identity,Smart Male Lead,Badass Male Lead,Hardworking Female Lead,Childish Female Lead,Trauma,Sassy Female Lead,Death,Corruption"/>
    <s v="Ji Chang Wook,Park Min Young,Yoo Ji Tae"/>
    <s v="Growth Era (2013-2016)"/>
  </r>
  <r>
    <s v="Squid Game"/>
    <x v="6"/>
    <n v="8.4"/>
    <n v="157565"/>
    <n v="9"/>
    <d v="1899-12-30T01:00:00"/>
    <s v="Friday"/>
    <s v="Action,Thriller,Mystery,Drama"/>
    <s v="Death,Death Game,Poor Male Lead,Debt,Competition,Survival,Murder,Suspense,Friends To Enemies,Massacre"/>
    <s v="Lee Jung Jae,Park Hae Soo,Jung Ho Yeon,Wi Ha Joon"/>
    <s v="Streaming Era (2020-2022)"/>
  </r>
  <r>
    <s v="Moon Lovers: Scarlet Heart Ryeo"/>
    <x v="0"/>
    <n v="8.6999999999999993"/>
    <n v="156474"/>
    <n v="20"/>
    <d v="1899-12-30T01:00:00"/>
    <s v="Monday, Tuesday"/>
    <s v="Historical,Romance,Fantasy,Melodrama"/>
    <s v="Goryeo Dynasty,Rivalry,Smart Male Lead,Love/Hate Relationship,Power Struggle,Jealousy,Possessive Male Lead,Secret Relationship,Sibling Rivalry,First Love"/>
    <s v="Lee Joon Gi,IU,Kang Ha Neul"/>
    <s v="Growth Era (2013-2016)"/>
  </r>
  <r>
    <s v="Flower of Evil"/>
    <x v="1"/>
    <n v="9.1"/>
    <n v="153200"/>
    <n v="16"/>
    <d v="1899-12-30T01:10:00"/>
    <s v="Wednesday, Thursday"/>
    <s v="Thriller,Romance,Crime,Melodrama"/>
    <s v="Detective Female Lead,Psychological,Family Secret,Mystery,Suspense,Hidden Personality,Antisocial Personality Disorder,Investigation,Detective Fiction,Smart Female Lead"/>
    <s v="Lee Jon Gi,Moon Chae Won,Jang Hee Jin,Seo Hyun Woo"/>
    <s v="Streaming Era (2020-2022)"/>
  </r>
  <r>
    <s v="Pinocchio"/>
    <x v="9"/>
    <n v="8.3000000000000007"/>
    <n v="151350"/>
    <n v="20"/>
    <d v="1899-12-30T00:58:00"/>
    <s v="Wednesday, Thursday"/>
    <s v="Thriller,Mystery,Comedy,Romance"/>
    <s v="Hidden Identity,Double Identity,Journalism,Adopted Siblings Love,Cohabitation,Revenge,Wrongfully Accused,Bromance,Misunderstanding,Murder"/>
    <s v="Lee Jong Suk,Park Shin Hye,Kim Young Kwang,Lee Yoo Bi,Jin Kyung"/>
    <s v="Growth Era (2013-2016)"/>
  </r>
  <r>
    <s v="Itaewon Class"/>
    <x v="1"/>
    <n v="8.4"/>
    <n v="150987"/>
    <n v="16"/>
    <d v="1899-12-30T01:10:00"/>
    <s v="Friday, Saturday"/>
    <s v="Business,Romance,Life,Drama"/>
    <s v="Revenge,Time Skip,Smart Female Lead,Female Chases Male First,Badass Female Lead,Boss-Employee Relationship,Nice Male Lead,Adapted From A Webtoon,Love Triangle,Hardworking Male Lead"/>
    <s v="Park Seo Joon,Kim Da Mi,Kwon Na Ra,Yoo Jae Myung"/>
    <s v="Streaming Era (2020-2022)"/>
  </r>
  <r>
    <s v="The Legend of the Blue Sea"/>
    <x v="0"/>
    <n v="8.3000000000000007"/>
    <n v="148563"/>
    <n v="20"/>
    <d v="1899-12-30T01:00:00"/>
    <s v="Wednesday, Thursday"/>
    <s v="Comedy,Romance,Drama,Fantasy"/>
    <s v="Naive Female Lead,Interspecies Romance,Cohabitation,First Love,Greed,Eccentric Female Lead,Hidden Identity,Fated Love,Mother-Son Relationship,Rich Male Lead"/>
    <s v="Jun Ji Hyun,Lee Min Ho"/>
    <s v="Growth Era (2013-2016)"/>
  </r>
  <r>
    <s v="I'm Not a Robot"/>
    <x v="5"/>
    <n v="8.3000000000000007"/>
    <n v="146959"/>
    <n v="32"/>
    <d v="1899-12-30T00:35:00"/>
    <s v="Wednesday, Thursday"/>
    <s v="Comedy,Romance,Drama,Sci-Fi"/>
    <s v="Haphephobia,Rich Male Lead,Robot,Eccentric Male Lead,Hardworking Female Lead,Double Identity,Healing,Sismance,Hidden Identity,Illness"/>
    <s v="Yoo Seung Ho,Chae Soo Bin,Uhm Ki Joon"/>
    <s v="Peak Era (2017-2019)"/>
  </r>
  <r>
    <s v="Fight for My Way"/>
    <x v="5"/>
    <n v="8.5"/>
    <n v="146512"/>
    <n v="16"/>
    <d v="1899-12-30T01:00:00"/>
    <s v="Monday, Tuesday"/>
    <s v="Business,Comedy,Romance,Sports"/>
    <s v="Friends To Lovers,Badass Male Lead,Character Development,First Love,Secondary Couple,Poor Male Lead,Hardworking Male Lead,Life Lesson,Nice Male Lead,Childish Male Lead"/>
    <s v="Park Seo Joon,Kim Ji Won,Ahn Jae Hong,Song Ha Yoon"/>
    <s v="Peak Era (2017-2019)"/>
  </r>
  <r>
    <s v="My ID is Gangnam Beauty"/>
    <x v="2"/>
    <n v="7.8"/>
    <n v="143909"/>
    <n v="16"/>
    <d v="1899-12-30T01:00:00"/>
    <s v="Friday, Saturday"/>
    <s v="Psychological,Romance,Youth,Drama"/>
    <s v="Beauty Standards,Nice Female Lead,Male Chases Female First,Plastic Surgery,Nice Male Lead,Adapted From A Webtoon,School Bullying,Age Gap [Real Life],Friends To Lovers,Calm Male Lead"/>
    <s v="Im Soo Hyang,Cha Eun Woo,Jo Woo Ri,Kwak Dong Yeon"/>
    <s v="Peak Era (2017-2019)"/>
  </r>
  <r>
    <s v="Her Private Life"/>
    <x v="3"/>
    <n v="8.3000000000000007"/>
    <n v="138021"/>
    <n v="16"/>
    <d v="1899-12-30T01:15:00"/>
    <s v="Wednesday, Thursday"/>
    <s v="Business,Comedy,Romance,Drama"/>
    <s v="Boss-Employee Relationship,Independent Female Lead,Orphan Male Lead,Smart Male Lead,Calm Male Lead,Sismance,Fan Culture,Eccentric Female Lead,Hidden Personality,Art"/>
    <s v="Park Min Young,Kim Jae Wook"/>
    <s v="Peak Era (2017-2019)"/>
  </r>
  <r>
    <s v="Suspicious Partner"/>
    <x v="5"/>
    <n v="8.3000000000000007"/>
    <n v="137092"/>
    <n v="40"/>
    <d v="1899-12-30T00:30:00"/>
    <s v="Wednesday, Thursday"/>
    <s v="Thriller,Comedy,Law,Romance"/>
    <s v="Cohabitation,Nice Male Lead,Hardworking Female Lead,Smart Male Lead,Nice Female Lead,Wrongfully Accused,Poor Female Lead,Opposites Attract,Bromance,Boss-Employee Relationship"/>
    <s v="Ji Chang Wook,Nam Ji Hyun,Choi Tae Joon,Kwon Na Ra"/>
    <s v="Peak Era (2017-2019)"/>
  </r>
  <r>
    <s v="Extraordinary You"/>
    <x v="3"/>
    <n v="8.3000000000000007"/>
    <n v="136969"/>
    <n v="32"/>
    <d v="1899-12-30T00:35:00"/>
    <s v="Wednesday, Thursday"/>
    <s v="Comedy,Romance,Youth,Fantasy"/>
    <s v="Sassy Female Lead,Nice Male Lead,Adapted From A Webtoon,High School,Illness,Height Difference,Love Triangle,Character Development,Amnesia,Multiple Mains"/>
    <s v="Kim Hye Yoon,Ro Woon,Lee Jae Wook,Lee Na Eun,Kim Young Dae,Jung Gun Joo,Lee Tae Ri"/>
    <s v="Peak Era (2017-2019)"/>
  </r>
  <r>
    <s v="Hometown Cha-Cha-Cha"/>
    <x v="6"/>
    <n v="8.6999999999999993"/>
    <n v="132071"/>
    <n v="16"/>
    <d v="1899-12-30T01:20:00"/>
    <s v="Saturday, Sunday"/>
    <s v="Comedy,Romance,Life,Drama"/>
    <s v="Nice Male Lead,Character Development,Nice Female Lead,Cheerful Male Lead,Hardworking Female Lead,Hardworking Male Lead,Opposites Attract,Confident Female Lead,Smart Female Lead,Healing"/>
    <s v="Shin Min Ah,Kim Seon Ho,Lee Sang Yi"/>
    <s v="Streaming Era (2020-2022)"/>
  </r>
  <r>
    <s v="Extraordinary Attorney Woo"/>
    <x v="4"/>
    <n v="8.9"/>
    <n v="131188"/>
    <n v="16"/>
    <d v="1899-12-30T01:10:00"/>
    <s v="Wednesday, Thursday"/>
    <s v="Law,Romance,Life,Drama"/>
    <s v="Autistic Female Lead,Autism,Attorney Female Lead,Smart Female Lead,Workplace Setting,Nice Male Lead,Father-Daughter Relationship,Courtroom Setting,Single Mother/Father Supporting Character,Slow Burn Romance"/>
    <s v="Park Eun Bin,Kang Tae Oh,Kang Ki Young"/>
    <s v="Streaming Era (2020-2022)"/>
  </r>
  <r>
    <s v="Alchemy of Souls"/>
    <x v="4"/>
    <n v="9.1"/>
    <n v="129020"/>
    <n v="20"/>
    <d v="1899-12-30T01:20:00"/>
    <s v="Saturday, Sunday"/>
    <s v="Action,Historical,Romance,Fantasy"/>
    <s v="Transmigration,Master-Disciple Relationship,Hidden Identity,Supernatural,Body Swap,Elemental Power,Fake Identity,Comedy,Master-Servant Relationship,Flashback To Past"/>
    <s v="Lee Jae Wook,Jung So Min"/>
    <s v="Streaming Era (2020-2022)"/>
  </r>
  <r>
    <s v="Because This Is My First Life"/>
    <x v="5"/>
    <n v="8.4"/>
    <n v="124319"/>
    <n v="16"/>
    <d v="1899-12-30T01:10:00"/>
    <s v="Monday, Tuesday"/>
    <s v="Comedy,Romance,Life,Drama"/>
    <s v="Contract Relationship,Marriage Of Convenience,Eccentric Male Lead,Multiple Couples,Multiple Mains,Cohabitation,Calm Male Lead,Sismance,Nerdy Male Lead,Healing"/>
    <s v="Jung So Min,Lee Min Ki,Esom,Park Byung Eun,Kim Ga Eun,Kim Min Seok"/>
    <s v="Peak Era (2017-2019)"/>
  </r>
  <r>
    <s v="Love Alarm"/>
    <x v="3"/>
    <n v="7.1"/>
    <n v="123882"/>
    <n v="8"/>
    <d v="1899-12-30T00:50:00"/>
    <s v="Thursday"/>
    <s v="Comedy,Romance,Youth,Drama"/>
    <s v="Male Chases Female First,Love Triangle,First Love,Trauma,Adapted From A Webtoon,Rich Male Lead,Heartbreak,Bromance,Rich Man/Poor Woman,Suicide"/>
    <s v="Kim So Hyun,Jung Ga Ram,Song Kang"/>
    <s v="Peak Era (2017-2019)"/>
  </r>
  <r>
    <s v="Reply 1988"/>
    <x v="10"/>
    <n v="9.1"/>
    <n v="123446"/>
    <n v="20"/>
    <d v="1899-12-30T01:35:00"/>
    <s v="Friday, Saturday"/>
    <s v="Comedy,Romance,Life,Youth"/>
    <s v="Nostalgia,Multiple Couples,Poor Family,Love Triangle,Friendship,High School,Mother-Son Relationship,Coming Of Age,Bromance,Poor Female Lead"/>
    <s v="Lee Hye Ri,Go Kyung Pyo,Ryu Jun Yeol,Park Bo Gum,Lee Dong Hwi"/>
    <s v="Growth Era (2013-2016)"/>
  </r>
  <r>
    <s v="The K2"/>
    <x v="0"/>
    <n v="8.1999999999999993"/>
    <n v="120652"/>
    <n v="16"/>
    <d v="1899-12-30T01:00:00"/>
    <s v="Friday, Saturday"/>
    <s v="Action,Thriller,Psychological,Romance"/>
    <s v="Badass Male Lead,Political,Trauma,Power Struggle,Aggressive Male Lead,Naive Female Lead,Revenge,Suspense,Hardworking Male Lead,Birth Secret"/>
    <s v="Ji Chang Wook,Im Yoon Ah,Song Yoon Ah,Jo Sung Ha"/>
    <s v="Growth Era (2013-2016)"/>
  </r>
  <r>
    <s v="Hospital Playlist"/>
    <x v="1"/>
    <n v="9.1"/>
    <n v="119851"/>
    <n v="12"/>
    <d v="1899-12-30T01:30:00"/>
    <s v="Thursday"/>
    <s v="Comedy,Life,Drama,Medical"/>
    <s v="Friendship,Multiple Mains,Slow Romance,Multiple Couples,Healing,Bromance,Slight Romance,Smart Female Lead,Nice Male Lead,Music"/>
    <s v="Jo Jung Suk,Yoo Yeon Seok,Jung Kyung Ho,Kim Dae Myung,Jeon Mi Do"/>
    <s v="Streaming Era (2020-2022)"/>
  </r>
  <r>
    <s v="Sweet Home"/>
    <x v="1"/>
    <n v="8.6999999999999993"/>
    <n v="119232"/>
    <n v="10"/>
    <d v="1899-12-30T00:52:00"/>
    <s v="Friday"/>
    <s v="Action,Horror,Drama,Sci-Fi"/>
    <s v="Monster,Survival,Character Development,Gore,Supernatural Phenomena,Trauma,Adapted From A Webtoon,Paranormal,Death,Nice Male Lead"/>
    <s v="Song Kang,Lee Jin Wook,Lee Si Young,Lee Do Hyun,Kim Nam Hee,Go Min Si,Park Gyu Young,Go Youn Jung,Kim Gab Soo,Kim Sang Ho"/>
    <s v="Streaming Era (2020-2022)"/>
  </r>
  <r>
    <s v="Romance Is a Bonus Book"/>
    <x v="3"/>
    <n v="8.1"/>
    <n v="119071"/>
    <n v="16"/>
    <d v="1899-12-30T01:02:00"/>
    <s v="Saturday, Sunday"/>
    <s v="Business,Comedy,Romance,Melodrama"/>
    <s v="Friends To Lovers,Cohabitation,Successful Male Lead,Smart Male Lead,Nice Male Lead,Slow Burn Romance,Older Woman/Younger Man,Secret Crush,Love Triangle,Boss-Employee Relationship"/>
    <s v="Lee Na Young,Lee Jong Suk,Jung Eugene,Wi Ha Joon"/>
    <s v="Peak Era (2017-2019)"/>
  </r>
  <r>
    <s v="Kill Me, Heal Me"/>
    <x v="10"/>
    <n v="8.6999999999999993"/>
    <n v="118665"/>
    <n v="20"/>
    <d v="1899-12-30T01:02:00"/>
    <s v="Wednesday, Thursday"/>
    <s v="Psychological,Comedy,Romance,Drama"/>
    <s v="Dissociative Identity Disorder,Trauma,Boss-Employee Relationship,Rich Male Lead,Nice Male Lead,Mean Male Lead,Rich Man/Poor Woman,Psychiatrist Female Lead,Doctor Female Lead,Doctor-Patient Relationship"/>
    <s v="Ji Sung,Hwang Jung Eum,Park Seo Joon,Kim Yoo Ri,Oh Min Suk"/>
    <s v="Growth Era (2013-2016)"/>
  </r>
  <r>
    <s v="Cinderella and the Four Knights"/>
    <x v="0"/>
    <n v="7.8"/>
    <n v="118752"/>
    <n v="16"/>
    <d v="1899-12-30T01:00:00"/>
    <s v="Friday, Saturday"/>
    <s v="Comedy,Romance,Drama"/>
    <s v="Cohabitation,Hardworking Female Lead,Reverse-Harem,Rich Male Lead,Rich Man/Poor Woman,Cold Man/Warm Woman,Multiple Mains,Forbidden Love,First Love,Adapted From A Manhwa"/>
    <s v="Park So Dam,Jung Il Woo,Ahn Jae Hyun,Lee Jung Shin,Choi Shang,Son Na Eun"/>
    <s v="Growth Era (2013-2016)"/>
  </r>
  <r>
    <s v="She Was Pretty"/>
    <x v="10"/>
    <n v="8"/>
    <n v="117331"/>
    <n v="16"/>
    <d v="1899-12-30T01:00:00"/>
    <s v="Wednesday, Thursday"/>
    <s v="Comedy,Romance,Drama"/>
    <s v="Misunderstanding,Makeover,Hardworking Female Lead,Character Development,Nice Female Lead,Mean Male Lead,Sassy Female Lead,Unrequited Love,First Love,Hidden Identity"/>
    <s v="Hwang Jung Eum,Park Seo Joon,Go Joon Hee,Choi Si Won"/>
    <s v="Growth Era (2013-2016)"/>
  </r>
  <r>
    <s v="Doom at Your Service"/>
    <x v="6"/>
    <n v="8.4"/>
    <n v="115340"/>
    <n v="16"/>
    <d v="1899-12-30T01:05:00"/>
    <s v="Monday, Tuesday"/>
    <s v="Comedy,Romance,Drama,Fantasy"/>
    <s v="Terminal Illness,Illness,Brain Cancer,Supernatural Power,Hardworking Female Lead,Fate,Unlucky Female Lead,First Love,Glioblastoma,Eccentric Male Lead"/>
    <s v="Park Bo Young,Seo In Guk,Lee Soo Hyuk,Kang Tae Oh,Shin Do Hyun"/>
    <s v="Streaming Era (2020-2022)"/>
  </r>
  <r>
    <s v="Tale of the Nine-Tailed"/>
    <x v="1"/>
    <n v="8.3000000000000007"/>
    <n v="115256"/>
    <n v="16"/>
    <d v="1899-12-30T01:10:00"/>
    <s v="Wednesday, Thursday"/>
    <s v="Thriller,Horror,Romance,Fantasy"/>
    <s v="Nine-tailed Fox,Reincarnation,Supernatural,Sibling Rivalry,Fated Love,Bromance,Interspecies Romance,Mythical Being,Hardworking Female Lead,Smart Female Lead"/>
    <s v="Lee Dong Wook,Jo Bo Ah,Kim Bum"/>
    <s v="Streaming Era (2020-2022)"/>
  </r>
  <r>
    <s v="The Glory"/>
    <x v="4"/>
    <n v="8.9"/>
    <n v="115593"/>
    <n v="8"/>
    <d v="1899-12-30T00:50:00"/>
    <s v="Friday"/>
    <s v="Thriller,Drama,Melodrama"/>
    <s v="Revenge,School Bullying,School Violence,Sexual Content,Social Issues,Doctor Male Lead,Time Skip,Antiheroine Female Lead,Nonlinear Narrative,Teacher Female Lead"/>
    <s v="Song Hye Kyo,Lee Do Hyun,Im Ji Yeon,Yeom Hye Ran,Park Sung Hoon,Jung Sung Il"/>
    <s v="Streaming Era (2020-2022)"/>
  </r>
  <r>
    <s v="The King: Eternal Monarch"/>
    <x v="1"/>
    <n v="8.1"/>
    <n v="113545"/>
    <n v="16"/>
    <d v="1899-12-30T01:10:00"/>
    <s v="Friday, Saturday"/>
    <s v="Mystery,Romance,Drama,Sci-Fi"/>
    <s v="Parallel Universe,Doppelganger,Male Lead Saves Female Lead,Royalty,Male Chases Female First,Murder,Monarchy,Treason,Rich Male Lead,Greed"/>
    <s v="Lee Min Ho,Kim Go Eun,Woo Do Hwan,Lee Jung Jin,Kim Kyung Nam,Jung Eun Chae"/>
    <s v="Streaming Era (2020-2022)"/>
  </r>
  <r>
    <s v="Twenty-Five Twenty-One"/>
    <x v="4"/>
    <n v="8.8000000000000007"/>
    <n v="112814"/>
    <n v="16"/>
    <d v="1899-12-30T01:15:00"/>
    <s v="Saturday, Sunday"/>
    <s v="Romance,Life,Drama,Melodrama"/>
    <s v="Coming Of Age,Nostalgia,Fencing,Nice Male Lead,Friendship,Character Development,Competition,IMF Crisis,High School To Working Life,Reporter Male Lead"/>
    <s v="Kim Tae Ri,Nam Joo Hyuk,Bona,Choi Hyun Wook,Lee Jo Myung"/>
    <s v="Streaming Era (2020-2022)"/>
  </r>
  <r>
    <s v="Move To Heaven"/>
    <x v="6"/>
    <n v="9.1"/>
    <n v="112905"/>
    <n v="10"/>
    <d v="1899-12-30T00:52:00"/>
    <s v="Friday"/>
    <s v="Life,Drama"/>
    <s v="Uncle-Nephew Relationship,Autism,Death,Tearjerker,Savant Syndrome,Life Lesson,Asperger‚Äôs Syndrome,Autistic Male Lead,Smart Male Lead,Murder"/>
    <s v="Lee Je Hoon,Tang Jun Sang,Hong Seung Hee"/>
    <s v="Streaming Era (2020-2022)"/>
  </r>
  <r>
    <s v="Start-Up"/>
    <x v="1"/>
    <n v="8.1"/>
    <n v="111863"/>
    <n v="16"/>
    <d v="1899-12-30T01:25:00"/>
    <s v="Saturday, Sunday"/>
    <s v="Business,Comedy,Romance,Youth"/>
    <s v="Competition,Unrequited Love,Hardworking Male Lead,Hardworking Female Lead,Artificial Intelligence,Nice Female Lead,Love Triangle,Raised By Grandmother,Grandma-Granddaughter Relationship,Sibling Rivalry"/>
    <s v="Bae Suzy,Nam Joo Hyuk,Kim Seon Ho,Kang Han Na"/>
    <s v="Streaming Era (2020-2022)"/>
  </r>
  <r>
    <s v="Touch Your Heart"/>
    <x v="3"/>
    <n v="8.1999999999999993"/>
    <n v="111341"/>
    <n v="16"/>
    <d v="1899-12-30T01:10:00"/>
    <s v="Wednesday, Thursday"/>
    <s v="Comedy,Law,Romance,Drama"/>
    <s v="Hardworking Male Lead,Hardworking Female Lead,Nice Male Lead,Calm Male Lead,Opposites Attract,Smart Male Lead,Smart Female Lead,Naive Female Lead,Entertainment Industry,Successful Male Lead"/>
    <s v="Lee Dong Wook,Yoo In Na,Lee Sang Woo,Son Sung Yoon"/>
    <s v="Peak Era (2017-2019)"/>
  </r>
  <r>
    <s v="My Name"/>
    <x v="6"/>
    <n v="8.6999999999999993"/>
    <n v="109078"/>
    <n v="8"/>
    <d v="1899-12-30T00:50:00"/>
    <s v="Friday"/>
    <s v="Action,Thriller,Mystery,Crime"/>
    <s v="Criminal Organization,Badass Female Lead,Revenge,Murder,Trauma,Hidden Identity,Gang,Double Identity,Noir,Death"/>
    <s v="Han So Hee,Park Hee Soon,Ahn Bo Hyun"/>
    <s v="Streaming Era (2020-2022)"/>
  </r>
  <r>
    <s v="Hwarang"/>
    <x v="0"/>
    <n v="8"/>
    <n v="108253"/>
    <n v="20"/>
    <d v="1899-12-30T01:00:00"/>
    <s v="Monday, Tuesday"/>
    <s v="Action,Historical,Comedy,Romance"/>
    <s v="Hwarang,Bromance,Love Triangle,Identity Swap,Silla Dynasty,Competition,Jinheung,Nice Male Lead,Hardworking Male Lead,Death"/>
    <s v="Park Seo Joon,Go A Ra,Park Hyung Sik"/>
    <s v="Growth Era (2013-2016)"/>
  </r>
  <r>
    <s v="The Uncanny Counter"/>
    <x v="1"/>
    <n v="8.8000000000000007"/>
    <n v="107940"/>
    <n v="16"/>
    <d v="1899-12-30T01:10:00"/>
    <s v="Saturday, Sunday"/>
    <s v="Action,Mystery,Drama,Supernatural"/>
    <s v="Found Family,Righteous Male Lead,Evil Spirit,Teamwork,Orphan Male Lead,Multiple Mains,Spirit,Nice Male Lead,Hidden Identity,School Bullying"/>
    <s v="Cho Byeong Kyu,Yoo Joon Sang,Kim Se Jeong,Yeom Hye Ran,Ahn Suk Hwan"/>
    <s v="Streaming Era (2020-2022)"/>
  </r>
  <r>
    <s v="Cheese in the Trap"/>
    <x v="0"/>
    <n v="7.4"/>
    <n v="107382"/>
    <n v="16"/>
    <d v="1899-12-30T01:05:00"/>
    <s v="Monday, Tuesday"/>
    <s v="Psychological,Romance,Life,Drama"/>
    <s v="Adapted From A Webtoon,Rich Male Lead,Stalking,Enemies To Lovers,Cold Male Lead,Possessive Male Lead,Love Triangle,School Bullying,Smart Female Lead,Smart Male Lead"/>
    <s v="Kim Go Eun,Park Hae Jin,Seo Kang Joon,Lee Sung Kyung"/>
    <s v="Growth Era (2013-2016)"/>
  </r>
  <r>
    <s v="Oh My Venus"/>
    <x v="10"/>
    <n v="8.1999999999999993"/>
    <n v="106826"/>
    <n v="16"/>
    <d v="1899-12-30T01:00:00"/>
    <s v="Monday, Tuesday"/>
    <s v="Comedy,Law,Romance,Life"/>
    <s v="Weight Loss,Makeover,Cohabitation,Bromance,Rich Male Lead,Hidden Identity,Hardworking Male Lead,Hardworking Female Lead,Multiple Couples,Successful Male Lead"/>
    <s v="So Ji Sub,Shin Min Ah,Jung Gyu Woon,Yoo In Young"/>
    <s v="Growth Era (2013-2016)"/>
  </r>
  <r>
    <s v="Our Beloved Summer"/>
    <x v="6"/>
    <n v="8.6"/>
    <n v="106851"/>
    <n v="16"/>
    <d v="1899-12-30T01:00:00"/>
    <s v="Monday, Tuesday"/>
    <s v="Romance,Life,Youth,Drama"/>
    <s v="Lovers Reunited,High School Sweethearts,First Love,Healing,Flashback To Past,Love/Hate Relationship,Interview,Second Chance Romance,Coming Of Age,Character Development"/>
    <s v="Choi Woo Shik,Kim Da Mi,Kim Sung Cheol,Roh Jeong Eui"/>
    <s v="Streaming Era (2020-2022)"/>
  </r>
  <r>
    <s v="Secret Garden"/>
    <x v="11"/>
    <n v="8.1999999999999993"/>
    <n v="106262"/>
    <n v="20"/>
    <d v="1899-12-30T01:05:00"/>
    <s v="Saturday, Sunday"/>
    <s v="Comedy,Romance,Melodrama,Supernatural"/>
    <s v="Body Swap,Rich Man/Poor Woman,Hardworking Female Lead,Male Chases Female First,Hot-tempered Female Lead,Rich Male Lead,Character Development,Obsessive Male Lead,Love Triangle,Secondary Couple"/>
    <s v="Hyun Bin,Ha Ji Won,Yoon Sang Hyun,Kim Sa Rang"/>
    <s v="Early Era (2007-2012)"/>
  </r>
  <r>
    <s v="Mr. Queen"/>
    <x v="1"/>
    <n v="9"/>
    <n v="104211"/>
    <n v="20"/>
    <d v="1899-12-30T01:15:00"/>
    <s v="Saturday, Sunday"/>
    <s v="Historical,Comedy,Romance,Fantasy"/>
    <s v="Transmigration,Sassy Female Lead,Eccentric Female Lead,Joseon Dynasty,Calm Male Lead,Time Travel,Palace Setting,Marriage Of Convenience,Gender Swap,Smart Male Lead"/>
    <s v="Shin Hye Sun,Kim Jung Hyun"/>
    <s v="Streaming Era (2020-2022)"/>
  </r>
  <r>
    <s v="Coffee Prince"/>
    <x v="12"/>
    <n v="8.3000000000000007"/>
    <n v="104033"/>
    <n v="17"/>
    <d v="1899-12-30T01:00:00"/>
    <s v="Monday, Tuesday"/>
    <s v="Food,Comedy,Romance,Drama"/>
    <s v="Cross-Dressing,Hidden Identity,Boss-Employee Relationship,Family Pressure,Hardworking Female Lead,Eccentric Female Lead,Barista Female Lead,Tomboy Female Lead,Character Development,Rich Man/Poor Woman"/>
    <s v="Gong Yoo,Yoon Eun Hye,Lee Sun Kyun,Chae Jung An"/>
    <s v="Early Era (2007-2012)"/>
  </r>
  <r>
    <s v="King The Land"/>
    <x v="13"/>
    <n v="8.1999999999999993"/>
    <n v="103492"/>
    <n v="16"/>
    <d v="1899-12-30T01:11:00"/>
    <s v="Saturday, Sunday"/>
    <s v="Comedy,Romance"/>
    <s v="Hotel Setting,Male Chases Female First,Best Friends' Relationship,Hardworking Female Lead,Workplace Setting,Rich Male Lead,Secondary Couple,Opposites Attract,Sibling Rivalry,Hotel Management"/>
    <s v="Lee Jun Ho,Im Yoon Ah"/>
    <s v="Global Era (2023-2024)"/>
  </r>
  <r>
    <s v="Oh My Ghost"/>
    <x v="10"/>
    <n v="8.3000000000000007"/>
    <n v="102877"/>
    <n v="16"/>
    <d v="1899-12-30T01:00:00"/>
    <s v="Friday, Saturday"/>
    <s v="Thriller,Comedy,Romance,Supernatural"/>
    <s v="Boss-Employee Relationship,Identity Swap,Hardworking Male Lead,Successful Male Lead,Ghost-seeing Female Lead,Sismance,Love Triangle,Cold Man/Warm Woman,Female Chases Male First,Shamanism"/>
    <s v="Park Bo Young,Jo Jung Suk,Im Joo Hwan,Kim Seul Gi"/>
    <s v="Growth Era (2013-2016)"/>
  </r>
  <r>
    <s v="Weak Hero Class 1"/>
    <x v="4"/>
    <n v="9.1"/>
    <n v="102071"/>
    <n v="8"/>
    <d v="1899-12-30T00:40:00"/>
    <s v="Friday"/>
    <s v="Action,Youth,Drama"/>
    <s v="Teenager Male Lead,Violence,Friendship,School Bullying,Skilled Fighter,School Setting,Social Issues,Bromance,High School,Introverted Male Lead"/>
    <s v="Park Ji Hoon,Choi Hyun Wook,Hong Kyung,Kim Su Gyeom"/>
    <s v="Streaming Era (2020-2022)"/>
  </r>
  <r>
    <s v="Nevertheless"/>
    <x v="6"/>
    <n v="7.4"/>
    <n v="101676"/>
    <n v="10"/>
    <d v="1899-12-30T01:08:00"/>
    <s v="Saturday"/>
    <s v="Romance,Life,Youth,Drama"/>
    <s v="Multiple Couples,Love Triangle,Playboy Male Lead,Adapted From A Webtoon,Friends With Benefits,Inner Monologue,Sexual Content,Fast Paced Romance,Playful Male Lead,Flirty Male Lead"/>
    <s v="Han So Hee,Song Kang,Chae Jong Hyeop,Lee Yeol Eum,Yang Hye Ji"/>
    <s v="Streaming Era (2020-2022)"/>
  </r>
  <r>
    <s v="All of Us Are Dead"/>
    <x v="4"/>
    <n v="8.5"/>
    <n v="101710"/>
    <n v="12"/>
    <d v="1899-12-30T01:02:00"/>
    <s v="Friday"/>
    <s v="Action,Thriller,Horror,Sci-Fi"/>
    <s v="Survival,Zombies,Death,Zombie Apocalypse,Virus,Gore,Slight Romance,High School,Friendship,School Bullying"/>
    <s v="Park Ji Hu,Yoon Chan Young,Lomon,Cho Yi Hyun"/>
    <s v="Streaming Era (2020-2022)"/>
  </r>
  <r>
    <s v="A Korean Odyssey"/>
    <x v="5"/>
    <n v="8.1999999999999993"/>
    <n v="101149"/>
    <n v="20"/>
    <d v="1899-12-30T01:20:00"/>
    <s v="Saturday, Sunday"/>
    <s v="Horror,Comedy,Romance,Fantasy"/>
    <s v="Ghost-seeing Female Lead,Supernatural Power,Demon,Aggressive Male Lead,Ghost,Love/Hate Relationship,Eccentric Male Lead,Bromance,Mean Male Lead,Adapted From A Novel"/>
    <s v="Lee Seung Gi,Cha Seung Won,Oh Yeon Seo,Lee Hong Ki,Jang Gwang"/>
    <s v="Peak Era (2017-2019)"/>
  </r>
  <r>
    <s v="Abyss"/>
    <x v="3"/>
    <n v="7.8"/>
    <n v="100611"/>
    <n v="16"/>
    <d v="1899-12-30T01:00:00"/>
    <s v="Monday, Tuesday"/>
    <s v="Mystery,Comedy,Romance,Fantasy"/>
    <s v="Murder,Reincarnation,Nice Male Lead,Death,Hidden Identity,Investigation,Supernatural,Age Gap [Real Life],Hardworking Female Lead,Smart Female Lead"/>
    <s v="Park Bo Young,Ahn Hyo Seop"/>
    <s v="Peak Era (2017-2019)"/>
  </r>
  <r>
    <s v="My Demon"/>
    <x v="13"/>
    <n v="8.1999999999999993"/>
    <n v="100446"/>
    <n v="16"/>
    <d v="1899-12-30T01:06:00"/>
    <s v="Friday, Saturday"/>
    <s v="Action,Comedy,Romance,Fantasy"/>
    <s v="Demon Male Lead,Supernatural,Heiress Female Lead,Supernatural Power,Sassy Female Lead,Contract Relationship,Rich Female Lead,Age Gap [Real Life],Orphan Female Lead,Interspecies Romance"/>
    <s v="Kim You Jung,Song Kang"/>
    <s v="Global Era (2023-2024)"/>
  </r>
  <r>
    <s v="Tomorrow"/>
    <x v="4"/>
    <n v="8.8000000000000007"/>
    <n v="99622"/>
    <n v="16"/>
    <d v="1899-12-30T01:00:00"/>
    <s v="Friday, Saturday"/>
    <s v="Action,Thriller,Drama,Fantasy"/>
    <s v="Grim Reaper Female Lead,Grim Reaper Male Lead,Underworld,Attempted Suicide,Death,Suicide,Afterlife,Suicide Prevention,Coma,Team Leader Female Lead"/>
    <s v="Kim Hee Sun,Ro Woon,Lee Soo Hyuk,Yun Jin On"/>
    <s v="Streaming Era (2020-2022)"/>
  </r>
  <r>
    <s v="Run On"/>
    <x v="1"/>
    <n v="8.1999999999999993"/>
    <n v="98094"/>
    <n v="16"/>
    <d v="1899-12-30T01:10:00"/>
    <s v="Wednesday, Thursday"/>
    <s v="Romance,Life,Drama,Sports"/>
    <s v="Calm Male Lead,Multiple Couples,Nice Male Lead,Hardworking Female Lead,Eccentric Male Lead,Smart Female Lead,Famous Male Lead,Father-Son Relationship,Translator Female Lead,Healing"/>
    <s v="Yim Si Wan,Shin Sae Kyeong,Choi Soo Young,Kang Tae Oh"/>
    <s v="Streaming Era (2020-2022)"/>
  </r>
  <r>
    <s v="Happiness"/>
    <x v="6"/>
    <n v="8.8000000000000007"/>
    <n v="98169"/>
    <n v="12"/>
    <d v="1899-12-30T01:05:00"/>
    <s v="Friday, Saturday"/>
    <s v="Action,Thriller,Drama,Sci-Fi"/>
    <s v="Infectious Disease,Quarantine,Detective Male Lead,Virus,Slow Burn Romance,Survival,Healthy Mains‚Äô Relationship,Illness,Determined Female Lead,Smart Male Lead"/>
    <s v="Han Hyo Joo,Park Hyung Sik,Jo Woo Jin"/>
    <s v="Streaming Era (2020-2022)"/>
  </r>
  <r>
    <s v="Twinkling Watermelon"/>
    <x v="13"/>
    <n v="9.1999999999999993"/>
    <n v="98619"/>
    <n v="16"/>
    <d v="1899-12-30T01:10:00"/>
    <s v="Monday, Tuesday"/>
    <s v="Romance,Youth,Drama,Fantasy"/>
    <s v="Time Travel,Child From The Future,Sign Language,Father-Son Relationship,Deafness,1990s,Music,Coming Of Age,Friendship,Comedy"/>
    <s v="Ryeoun,Choi Hyun Wook,Seol In Ah,Shin Eun Soo"/>
    <s v="Global Era (2023-2024)"/>
  </r>
  <r>
    <s v="The Bride of Habaek"/>
    <x v="5"/>
    <n v="7.4"/>
    <n v="97361"/>
    <n v="16"/>
    <d v="1899-12-30T01:10:00"/>
    <s v="Monday, Tuesday"/>
    <s v="Comedy,Romance,Drama,Fantasy"/>
    <s v="Interspecies Romance,Steamy Kiss,Supernatural Power,Poor Female Lead,Eccentric Male Lead,Arrogant Male Lead,Healing,Elemental Power,Orphan Female Lead,Supernatural"/>
    <s v="Shin Sae Kyeong,Nam Joo Hyuk,Im Joo Hwan,Krystal Jung,Gong Myung"/>
    <s v="Peak Era (2017-2019)"/>
  </r>
  <r>
    <s v="Vagabond"/>
    <x v="3"/>
    <n v="8.5"/>
    <n v="97211"/>
    <n v="16"/>
    <d v="1899-12-30T01:10:00"/>
    <s v="Friday, Saturday"/>
    <s v="Action,Thriller,Mystery,Crime"/>
    <s v="Corruption,Death,Revenge,National Intelligence Service,Blackmail,Teamwork,Power Struggle,Smart Male Lead,Slow Burn Romance,Conspiracy"/>
    <s v="Lee Seung Gi,Bae Suzy,Shin Sung Rok"/>
    <s v="Peak Era (2017-2019)"/>
  </r>
  <r>
    <s v="Angel's Last Mission: Love"/>
    <x v="3"/>
    <n v="8.4"/>
    <n v="96957"/>
    <n v="32"/>
    <d v="1899-12-30T00:35:00"/>
    <s v="Wednesday, Thursday"/>
    <s v="Comedy,Romance,Drama,Fantasy"/>
    <s v="Nice Male Lead,Warm Man/Cold Woman,Orphan Female Lead,Opposites Attract,Ballet,Tearjerker,Rich Female Lead,Male Chases Female First,Cohabitation,Hidden Identity"/>
    <s v="L,Shin Hye Sun,Lee Dong Gun,Kim Bo Mi"/>
    <s v="Peak Era (2017-2019)"/>
  </r>
  <r>
    <s v="I Hear Your Voice"/>
    <x v="8"/>
    <n v="8.5"/>
    <n v="96680"/>
    <n v="18"/>
    <d v="1899-12-30T01:00:00"/>
    <s v="Wednesday, Thursday"/>
    <s v="Mystery,Law,Romance,Supernatural"/>
    <s v="Revenge,Smart Female Lead,Trauma,Older Woman/Younger Man,Male Chases Female First,Mind Reading,Cohabitation,Love Triangle,Death,Orphan Male Lead"/>
    <s v="Lee Jong Suk,Lee Bo Young,Yoon Sang Hyun,Lee Da Hee"/>
    <s v="Growth Era (2013-2016)"/>
  </r>
  <r>
    <s v="He Is Psychometric"/>
    <x v="3"/>
    <n v="8.3000000000000007"/>
    <n v="96254"/>
    <n v="16"/>
    <d v="1899-12-30T01:04:00"/>
    <s v="Monday, Tuesday"/>
    <s v="Thriller,Mystery,Romance,Supernatural"/>
    <s v="Psychometry,Nice Male Lead,Smart Female Lead,Bromance,Death,Slow Romance,Sassy Female Lead,Investigation,Supernatural Power,Airhead Male Lead"/>
    <s v="Park Jin Young,Shin Ye Eun,Kim Kwon,Kim Da Som"/>
    <s v="Peak Era (2017-2019)"/>
  </r>
  <r>
    <s v="My Secret Romance"/>
    <x v="5"/>
    <n v="7.6"/>
    <n v="95779"/>
    <n v="13"/>
    <d v="1899-12-30T01:00:00"/>
    <s v="Monday, Tuesday"/>
    <s v="Comedy,Romance,Life,Drama"/>
    <s v="One-night Stand,Rich Man/Poor Woman,Boss-Employee Relationship,Fast Paced Romance,Rich Male Lead,Cooking,Love Triangle,Mother-Daughter Relationship,Mean Male Lead,Meet Again"/>
    <s v="Sung Hoon,Song Ji Eun,Kim Jae Young,Jung Da Sol"/>
    <s v="Peak Era (2017-2019)"/>
  </r>
  <r>
    <s v="My Roommate Is a Gumiho"/>
    <x v="6"/>
    <n v="8.3000000000000007"/>
    <n v="94650"/>
    <n v="16"/>
    <d v="1899-12-30T01:10:00"/>
    <s v="Wednesday, Thursday"/>
    <s v="Comedy,Romance,Fantasy"/>
    <s v="Calm Male Lead,Straightforward Female Lead,Cohabitation,Adapted From A Webtoon,Nine-tailed Fox,Friendship,Supernatural,Multiple Mains,Nice Male Lead,Multiple Couples"/>
    <s v="Jang Ki Yong,Lee Hye Ri,Kang Han Na,Kim Do Wan,Bae In Hyuk"/>
    <s v="Streaming Era (2020-2022)"/>
  </r>
  <r>
    <s v="Lovely Runner"/>
    <x v="14"/>
    <n v="9"/>
    <n v="95003"/>
    <n v="16"/>
    <d v="1899-12-30T01:10:00"/>
    <s v="Monday, Tuesday"/>
    <s v="Music,Comedy,Romance,Fantasy"/>
    <s v="Butterfly Effect,Second Chance,Time Travel,Passionate Male Lead,Time Altering,Famous Male Lead,Love At First Sight,Determined Female Lead,Age Gap [Real Life],Past And Present"/>
    <s v="Byeon Woo Seok,Kim Hye Yoon,Song Geon Hee,Lee Seung Hyub"/>
    <s v="Global Era (2023-2024)"/>
  </r>
  <r>
    <s v="It's Okay, That's Love"/>
    <x v="9"/>
    <n v="8.6"/>
    <n v="93742"/>
    <n v="16"/>
    <d v="1899-12-30T01:00:00"/>
    <s v="Wednesday, Thursday"/>
    <s v="Comedy,Romance,Drama,Melodrama"/>
    <s v="Trauma,Healing,Cohabitation,Rich Male Lead,Hallucination,Cheerful Male Lead,Tourette Syndrome,Male Chases Female First,Heartbreak,Psychiatrist Female Lead"/>
    <s v="Zo In Sung,Gong Hyo Jin"/>
    <s v="Growth Era (2013-2016)"/>
  </r>
  <r>
    <s v="You're Beautiful"/>
    <x v="7"/>
    <n v="8"/>
    <n v="93683"/>
    <n v="16"/>
    <d v="1899-12-30T01:05:00"/>
    <s v="Wednesday, Thursday"/>
    <s v="Music,Comedy,Romance,Drama"/>
    <s v="Gender Bender,Cross-Dressing,Identity Swap,Singing,Love Triangle,Twin Exchange,Bromance,Cold Male Lead,Nice Female Lead,Cold Man/Warm Woman"/>
    <s v="Jang Geun Suk,Park Shin Hye,Jung Yong Hwa,Lee Hong Ki"/>
    <s v="Early Era (2007-2012)"/>
  </r>
  <r>
    <s v="Just Between Lovers"/>
    <x v="5"/>
    <n v="8.5"/>
    <n v="93464"/>
    <n v="16"/>
    <d v="1899-12-30T01:13:00"/>
    <s v="Monday, Tuesday"/>
    <s v="Psychological,Romance,Melodrama"/>
    <s v="Trauma,Orphan Male Lead,Healing,Death,Hardworking Female Lead,Fated Love,Hardworking Male Lead,Phobia,Poor Male Lead,Disaster"/>
    <s v="Lee Jun Ho,Won Jin A,Lee Ki Woo,Kang Han Na"/>
    <s v="Peak Era (2017-2019)"/>
  </r>
  <r>
    <s v="Playful Kiss"/>
    <x v="11"/>
    <n v="7.2"/>
    <n v="92398"/>
    <n v="16"/>
    <d v="1899-12-30T01:05:00"/>
    <s v="Wednesday, Thursday"/>
    <s v="Comedy,Romance,Drama"/>
    <s v="Cohabitation,Adapted From A Manga,First Love,Unrequited Love,Mean Male Lead,Female Chases Male First,High School,Love Triangle,Smart Male Lead,Cold Male Lead"/>
    <s v="Kim Hyun Joong,Jung So Min,Lee Tae Sung"/>
    <s v="Early Era (2007-2012)"/>
  </r>
  <r>
    <s v="Queen of Tears"/>
    <x v="14"/>
    <n v="8.8000000000000007"/>
    <n v="92911"/>
    <s v="a"/>
    <d v="1899-12-30T01:28:00"/>
    <s v="Saturday, Sunday"/>
    <s v="Comedy,Romance,Life,Drama"/>
    <s v="Rich Family,Company President (CEO) Female Lead,Lawyer Male Lead,Black Comedy,Heiress Female Lead,Second Chance Romance,Married Life,Illness,Conglomerate,Prestigious Family"/>
    <s v="Kim Soo Hyun,Kim Ji Won,Park Sung Hoon,Kwak Dong Yeon,Lee Joo Bin"/>
    <s v="Global Era (2023-2024)"/>
  </r>
  <r>
    <s v="City Hunter"/>
    <x v="15"/>
    <n v="8.3000000000000007"/>
    <n v="91101"/>
    <n v="20"/>
    <d v="1899-12-30T01:10:00"/>
    <s v="Wednesday, Thursday"/>
    <s v="Action,Thriller,Crime"/>
    <s v="Hidden Identity,Revenge,Corruption,Adapted From A Manga,Smart Male Lead,Romance,Death,Rich Man/Poor Woman,Bromance,Badass Male Lead"/>
    <s v="Lee Min Ho,Park Min Young,Lee Joon Hyuk,Kim Sang Joong"/>
    <s v="Early Era (2007-2012)"/>
  </r>
  <r>
    <s v="The Master's Sun"/>
    <x v="8"/>
    <n v="8.5"/>
    <n v="89772"/>
    <n v="17"/>
    <d v="1899-12-30T01:02:00"/>
    <s v="Wednesday, Thursday"/>
    <s v="Horror,Comedy,Romance,Supernatural"/>
    <s v="Ghost,Eccentric Female Lead,Ghost-seeing Female Lead,Rich Male Lead,Clingy Female Lead,Successful Male Lead,Trauma,Secondary Couple,Eccentric Male Lead,Hidden Identity"/>
    <s v="Gong Hyo Jin,So Ji Sub,Seo In Guk,Kim Yoo Ri"/>
    <s v="Growth Era (2013-2016)"/>
  </r>
  <r>
    <s v="Who Are You: School 2015"/>
    <x v="10"/>
    <n v="8.1999999999999993"/>
    <n v="89619"/>
    <n v="16"/>
    <d v="1899-12-30T01:00:00"/>
    <s v="Monday, Tuesday"/>
    <s v="Mystery,Romance,Youth,Drama"/>
    <s v="Identity Swap,School Bullying,School Problems,High School,Amnesia,Love Triangle,Trauma,Hidden Identity,Orphan Female Lead,Tearjerker"/>
    <s v="Kim So Hyun,Nam Joo Hyuk,Yook Sung Jae"/>
    <s v="Growth Era (2013-2016)"/>
  </r>
  <r>
    <s v="The Beauty Inside"/>
    <x v="2"/>
    <n v="8.3000000000000007"/>
    <n v="89618"/>
    <n v="16"/>
    <d v="1899-12-30T01:10:00"/>
    <s v="Monday, Tuesday"/>
    <s v="Comedy,Romance,Melodrama,Supernatural"/>
    <s v="Prosopagnosia,Successful Male Lead,Calm Male Lead,Secondary Couple,Contract Relationship,Famous Female Lead,Rich Female Lead,Rich Male Lead,Sismance,Secret"/>
    <s v="Seo Hyun Jin,Lee Min Ki,Lee Da Hee,Ahn Jae Hyun"/>
    <s v="Peak Era (2017-2019)"/>
  </r>
  <r>
    <s v="Love in the Moonlight"/>
    <x v="0"/>
    <n v="8.1999999999999993"/>
    <n v="88407"/>
    <n v="18"/>
    <d v="1899-12-30T00:59:00"/>
    <s v="Monday, Tuesday"/>
    <s v="Historical,Comedy,Romance,Drama"/>
    <s v="Cross-Dressing,Joseon Dynasty,Hidden Identity,First Love,Male Chases Female First,Lovers Separated,Forbidden Love,Opposites Attract,Royalty,Bromance"/>
    <s v="Park Bo Gum,Kim You Jung,Jung Jin Young,Kwak Dong Yeon,Chae Soo Bin"/>
    <s v="Growth Era (2013-2016)"/>
  </r>
  <r>
    <s v="Bring It On, Ghost"/>
    <x v="0"/>
    <n v="8.1"/>
    <n v="87779"/>
    <n v="16"/>
    <d v="1899-12-30T01:00:00"/>
    <s v="Monday, Tuesday"/>
    <s v="Horror,Comedy,Romance,Supernatural"/>
    <s v="Ghost,Ghost-seeing Male Lead,Exorcism,Interspecies Romance,Nice Male Lead,Badass Female Lead,Adapted From A Webtoon,Sassy Female Lead,Bromance,Death"/>
    <s v="Ok Taec Yeon,Kim So Hyun,Kwon Yul"/>
    <s v="Growth Era (2013-2016)"/>
  </r>
  <r>
    <s v="Signal"/>
    <x v="0"/>
    <n v="8.9"/>
    <n v="87499"/>
    <n v="16"/>
    <d v="1899-12-30T01:15:00"/>
    <s v="Friday, Saturday"/>
    <s v="Thriller,Mystery,Sci-Fi"/>
    <s v="Different Timelines,Butterfly Effect,Murder,Hwaseong Serial Murders,Suspense,Investigation,Death,Corruption,Time Altering,Smart Female Lead"/>
    <s v="Lee Je Hoon,Kim Hye Soo,Jo Jin Woong"/>
    <s v="Growth Era (2013-2016)"/>
  </r>
  <r>
    <s v="Uncontrollably Fond"/>
    <x v="0"/>
    <n v="8.1"/>
    <n v="86949"/>
    <n v="20"/>
    <d v="1899-12-30T01:00:00"/>
    <s v="Wednesday, Thursday"/>
    <s v="Comedy,Romance,Drama,Melodrama"/>
    <s v="Terminal Illness,Tearjerker,Male Chases Female First,Poor Female Lead,Star Crossed Lovers,Rich Male Lead,Illness,Age Gap [Real Life],Singer Male Lead,Naive Female Lead"/>
    <s v="Kim Woo Bin,Bae Suzy,Im Joo Hwan,Im Ju Eun"/>
    <s v="Growth Era (2013-2016)"/>
  </r>
  <r>
    <s v="Prison Playbook"/>
    <x v="5"/>
    <n v="8.9"/>
    <n v="86122"/>
    <n v="16"/>
    <d v="1899-12-30T01:32:00"/>
    <s v="Wednesday, Thursday"/>
    <s v="Comedy,Crime,Life,Drama"/>
    <s v="Life Lesson,Prison Setting,Bromance,Wrongfully Accused,Character Development,Slight Romance,Best Friends' Relationship,Murder,Prisoner Male Lead,Black Comedy"/>
    <s v="Park Hae Soo,Jung Kyung Ho"/>
    <s v="Peak Era (2017-2019)"/>
  </r>
  <r>
    <s v="The Glory Part 2"/>
    <x v="13"/>
    <n v="9"/>
    <n v="85137"/>
    <n v="8"/>
    <d v="1899-12-30T00:55:00"/>
    <s v="Friday"/>
    <s v="Thriller,Drama,Melodrama"/>
    <s v="Revenge,Graphic Violence,Brief Nudity,Domestic Violence,Suspense,Nudity,Trauma,Sexual Assault,Perpetrator-Victim Relationship,Doctor Male Lead"/>
    <s v="Song Hye Kyo,Lee Do Hyun,Im Ji Yeon,Yeom Hye Ran,Park Sung Hoon,Jung Sung Il"/>
    <s v="Global Era (2023-2024)"/>
  </r>
  <r>
    <s v="Extracurricular"/>
    <x v="1"/>
    <n v="8.3000000000000007"/>
    <n v="84878"/>
    <n v="10"/>
    <d v="1899-12-30T00:55:00"/>
    <s v="Wednesday"/>
    <s v="Psychological,Crime,Youth,Drama"/>
    <s v="Sex Trafficking,Prostitution,Illegal Business,High School,Smart Male Lead,Violence,Rich Female Lead,School Bullying,Slight Romance,Child Abandonment"/>
    <s v="Kim Dong Hee,Park Ju Hyun,Jung Da Bin,Nam Yoon Su"/>
    <s v="Streaming Era (2020-2022)"/>
  </r>
  <r>
    <s v="My Mister"/>
    <x v="2"/>
    <n v="9"/>
    <n v="84371"/>
    <n v="16"/>
    <d v="1899-12-30T01:17:00"/>
    <s v="Wednesday, Thursday"/>
    <s v="Psychological,Life,Drama"/>
    <s v="Nice Male Lead,Depression,Healing,Poor Female Lead,Infidelity,Power Struggle,Grandma-Granddaughter Relationship,Smart Female Lead,Warm Man/Cold Woman,Corruption"/>
    <s v="Lee Sun Kyun,IU"/>
    <s v="Peak Era (2017-2019)"/>
  </r>
  <r>
    <s v="Dream High"/>
    <x v="15"/>
    <n v="8"/>
    <n v="83783"/>
    <n v="16"/>
    <d v="1899-12-30T01:10:00"/>
    <s v="Monday, Tuesday"/>
    <s v="Music,Comedy,Romance,Drama"/>
    <s v="High School,School Bullying,Love Triangle,Character Development,Youth,Friends To Lovers,Multiple Mains,Cohabitation,Weight Loss,Friendship"/>
    <s v="Bae Suzy,Kim Soo Hyun,Ok Taec Yeon,Ham Eun Jung,Jang Woo Young,IU"/>
    <s v="Early Era (2007-2012)"/>
  </r>
  <r>
    <s v="18 Again"/>
    <x v="1"/>
    <n v="8.6"/>
    <n v="83582"/>
    <n v="16"/>
    <d v="1899-12-30T01:10:00"/>
    <s v="Monday, Tuesday"/>
    <s v="Romance,Life,Drama,Fantasy"/>
    <s v="First Love,Father-Son Relationship,Father-Daughter Relationship,Hardworking Female Lead,Mother-Daughter Relationship,Life Lesson,Becoming Young,Hidden Identity,Character Development,Teenage Pregnancy"/>
    <s v="Kim Ha Neul,Yoon Sang Hyun,Lee Do Hyun"/>
    <s v="Streaming Era (2020-2022)"/>
  </r>
  <r>
    <s v="Something in the Rain"/>
    <x v="2"/>
    <n v="8"/>
    <n v="83265"/>
    <n v="16"/>
    <d v="1899-12-30T01:15:00"/>
    <s v="Friday, Saturday"/>
    <s v="Business,Romance,Life,Melodrama"/>
    <s v="Family Pressure,Nice Male Lead,Forbidden Love,Older Woman/Younger Man,Sexual Harassment,Male Chases Female First,Disapproving Parent,Secret Relationship,Family Dispute,Sismance"/>
    <s v="Son Ye Jin,Jung Hae In"/>
    <s v="Peak Era (2017-2019)"/>
  </r>
  <r>
    <s v="Doctor Strange"/>
    <x v="9"/>
    <n v="7.9"/>
    <n v="82611"/>
    <n v="20"/>
    <d v="1899-12-30T01:00:00"/>
    <s v="Monday, Tuesday"/>
    <s v="Thriller,Romance,Drama,Medical"/>
    <s v="Nice Male Lead,Love Triangle,Scheme,Hidden Identity,Love Square,Kidnapping,Second Chance,Emotionally Strong Female Lead,Emotionally Strong Male Lead,North Korean Female Lead"/>
    <s v="Lee Jong Suk,Jin Se Yeon,Kang So Ra,Park Hae Jin"/>
    <s v="Growth Era (2013-2016)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Goblin"/>
    <n v="2016"/>
    <n v="8.8000000000000007"/>
    <n v="254985"/>
    <n v="16"/>
    <d v="1899-12-30T01:22:00"/>
    <s v="Friday, Saturday"/>
    <s v="Comedy,Romance,Fantasy,Melodrama"/>
    <s v="Older Man/Younger Woman,Interspecies Romance,Dokkaebi,Fate,Bromance,Death,Tearjerker,Supernatural,Age Gap,Secondary Couple"/>
    <s v="Gong Yoo,Kim Go Eun,Lee Dong Wook,Yoo In Na,Yook Sung Jae"/>
    <x v="0"/>
    <n v="1"/>
  </r>
  <r>
    <s v="Strong Woman Do Bong Soon"/>
    <n v="2016"/>
    <n v="8.6999999999999993"/>
    <n v="239773"/>
    <n v="16"/>
    <d v="1899-12-30T01:07:00"/>
    <s v="Friday, Saturday"/>
    <s v="Action,Comedy,Romance,Supernatural"/>
    <s v="Superhuman Strenght,Love Triangle,Nice Male Lead,Father-Daughter Relationship,Rich Male Lead,Badass Female Lead,Bromance"/>
    <s v="Park Bo Young,Park Hyung Sik,Kim Ji Soo"/>
    <x v="0"/>
    <n v="0"/>
  </r>
  <r>
    <s v="It's Okay to Not Be Okay"/>
    <n v="2020"/>
    <n v="8.9"/>
    <n v="215957"/>
    <n v="16"/>
    <d v="1899-12-30T01:15:00"/>
    <s v="Saturday, Sunday"/>
    <s v="Psychological,Comedy,Romance,Drama"/>
    <s v="Independent Female Lead,Possessive Female Lead,Successful Female Lead,Healing,Melodrama,Selfless Male Lead,Badass Female Lead,Childhood Connection,Trauma,Mental Illness"/>
    <s v="Kim Soo Hyun,Seo Yea Ji,Oh Jung Se"/>
    <x v="1"/>
    <n v="1"/>
  </r>
  <r>
    <s v="Descendants of the Sun"/>
    <n v="2016"/>
    <n v="8.6"/>
    <n v="213187"/>
    <n v="16"/>
    <d v="1899-12-30T01:00:00"/>
    <s v="Wednesday, Thursday"/>
    <s v="Action,Comedy,Romance,Supernatural"/>
    <s v="Military,Bromance,Multiple Couples,Hardworking Male Lead,Medical,Gun Violence,Harworking Female Lead,Father-Daughter Relationship,Friendship,Filmed Abroad"/>
    <s v="Song Joong Ki,Song Hye Kyo,Jin Goo,Kim Ji Won"/>
    <x v="0"/>
    <n v="0"/>
  </r>
  <r>
    <s v="What's Wrong with Secretary Kim"/>
    <n v="2018"/>
    <n v="8.5"/>
    <n v="212766"/>
    <n v="16"/>
    <d v="1899-12-30T01:09:00"/>
    <s v="Wednesday, Thursday"/>
    <s v="Business,Comedy,Romance"/>
    <s v="Boss-Employee Relationship,Rich Male Lead,Adapted From A Webtoon,Male Chases Female First,Calm Female Lead,Smart Female Lead,Trauma,Phobia,Narcissistic Male Lead,First Love"/>
    <s v="Park Min Young,Park Seo Joon"/>
    <x v="2"/>
    <n v="0"/>
  </r>
  <r>
    <s v="Weightlifting Fairy Kim Bok Joo"/>
    <n v="2016"/>
    <n v="8.8000000000000007"/>
    <n v="212406"/>
    <n v="16"/>
    <d v="1899-12-30T01:00:00"/>
    <s v="Wednesday, Thursday"/>
    <s v="Comedy,Romance,Life,Sports"/>
    <s v="Friends To Lovers,Weightlifting,Healing,First Love,Bantering Relationship,Male Chases Female First,Swimmingm Slow Burn Romance,Sismance,Healthy Mains' Relationship"/>
    <s v="Lee Sung Kyung,Nam Joo Hyuk,Lee Jae Yoon,Kyung Soo Jin"/>
    <x v="0"/>
    <n v="1"/>
  </r>
  <r>
    <s v="Crash Landing on You"/>
    <n v="2019"/>
    <n v="9"/>
    <n v="208913"/>
    <n v="16"/>
    <d v="1899-12-30T01:25:00"/>
    <s v="Sunday, Saturday"/>
    <s v="Military,Comedy,Romance,Political"/>
    <s v="North and South Korea,Soldier Male Lead,Army,Rich Female Lead,Soldier Supporting Character,Intercountry Romance,Fate,Nice Male Lead,Army Captain Male Lead,Calm Male Lead"/>
    <s v="Hyun Bin,Son Ye Jin,Seo Ji Hye,Kim Jung Hyun"/>
    <x v="2"/>
    <n v="1"/>
  </r>
  <r>
    <s v="W"/>
    <n v="2016"/>
    <n v="8.5"/>
    <n v="199073"/>
    <n v="16"/>
    <d v="1899-12-30T01:00:00"/>
    <s v="Wednesday, Thursday"/>
    <s v="Thriller,Comedy,Romance,Fantasy"/>
    <s v="Crossworlds Traveler,Attempted Murder,Rich Male Lead,Lovers Separeted,Character Development,Murder,Gun Violence,Revenge,Smart Male Lead,Violence"/>
    <s v="Han Hyo Joo,Lee Jong Suk"/>
    <x v="0"/>
    <n v="0"/>
  </r>
  <r>
    <s v="Hotel del Luna"/>
    <n v="2019"/>
    <n v="8.6"/>
    <n v="183598"/>
    <n v="16"/>
    <d v="1899-12-30T01:19:00"/>
    <s v="Saturday, Sunday"/>
    <s v="Horror,Comedy,Romance,Fantasy"/>
    <s v="Supernatural,Boss-Employee Relationship,Ghost,Ghost-seeing Male Lead,Death,Smart Female Lead,Nice Male Lead,Flashback To Past,Warm Man/Cold Woman"/>
    <s v="IU,Yeo Jin Goo"/>
    <x v="2"/>
    <n v="0"/>
  </r>
  <r>
    <s v="Business Proposal"/>
    <n v="2022"/>
    <n v="8.6999999999999993"/>
    <n v="177633"/>
    <n v="12"/>
    <d v="1899-12-30T01:00:00"/>
    <s v="Monday, Tuesday"/>
    <s v="Comedy,Romance,Drama"/>
    <s v="Boss-Employee Relationship,Secondary Couple,Contract Relationship,Fake Identity,CEO Male Lead,Double Identity,Sismance,Rich Male Lead,Cheerful Female Lead,Rich Man/Poor Woman"/>
    <s v="Ahn Hyo Seop,Kim Se Jeong,Kim Min Gue,Seol In Ah"/>
    <x v="1"/>
    <n v="0"/>
  </r>
  <r>
    <s v="While You Were Sleeping"/>
    <n v="2017"/>
    <n v="8.6999999999999993"/>
    <n v="176827"/>
    <n v="32"/>
    <d v="1899-12-30T00:30:00"/>
    <s v="Wednesday, Thursday"/>
    <s v="Mystery,Romance,Drama,Supernatural"/>
    <s v="Precognition,Murder,Nice Male Lead,First Love,Investigation,Cheerful Male Lead,Smart Male Lead,Eccentric Female Lead,Comedy,Fated Love"/>
    <s v="Bae Suzy,Lee Jong Suk,Lee Sang Yeob,Jung Hae In"/>
    <x v="2"/>
    <n v="0"/>
  </r>
  <r>
    <s v="Vincenzo"/>
    <n v="2021"/>
    <n v="8.9"/>
    <n v="171730"/>
    <n v="20"/>
    <d v="1899-12-30T01:25:00"/>
    <s v="Saturday, Sunday"/>
    <s v="Comedy,Law,Crime,Drama"/>
    <s v="Mafia,Revenge,Slight Romance,Eccentric Female Lead,Smart Male Lead,Injustice,Black Comedy,Badass Male Lead,Skilled Killer,Corruption"/>
    <s v="Song Joong Ki,Jeon Yeo Been,Ok Taec Yeon"/>
    <x v="1"/>
    <n v="1"/>
  </r>
  <r>
    <s v="Boys Over Flowers"/>
    <n v="2009"/>
    <n v="7.5"/>
    <n v="169953"/>
    <n v="25"/>
    <d v="1899-12-30T01:05:00"/>
    <s v="Monday, Tuesday"/>
    <s v="Comedy,Romance,Youth,Drama"/>
    <s v="Rich Man/Poor Woman,School Bullying,Love Triangle,Mean Male Lead,Possessive Male Lead,Adapted From A Manga,Reverse-Harem,High School,Disapproving Parent,Male Chases Female First"/>
    <s v="Gu Hye Seon,Lee Min Ho,Kim Hyun Joong,Kim Bum,Kim Joon"/>
    <x v="3"/>
    <n v="0"/>
  </r>
  <r>
    <s v="The Heirs"/>
    <n v="2013"/>
    <n v="7.6"/>
    <n v="169096"/>
    <n v="20"/>
    <d v="1899-12-30T01:00:00"/>
    <s v="Wednesday, Thursday"/>
    <s v="Comedy,Romance,Drama,Melodrama"/>
    <s v="High School,Family Pressure,Love Triangle,School Bullying,Rich Male Lead,Rich Man/Poor Woman,Male Chases Female First,Poor Female Lead,Controlling Parent,Sibling Rivalry"/>
    <s v="Lee Min Ho,Park Shin Hye,Kim Woo Bin"/>
    <x v="0"/>
    <n v="0"/>
  </r>
  <r>
    <s v="My Love from the Star"/>
    <n v="2013"/>
    <n v="8.5"/>
    <n v="164412"/>
    <n v="21"/>
    <d v="1899-12-30T00:58:00"/>
    <s v="Wednesday, Thursday"/>
    <s v="Comedy,Romance,Drama,Supernatural"/>
    <s v="Interspecies Romance,Sassy Female Lead,Time Manipulation,Superhuman Strength,Star Crossed Lovers,Smart Male Lead,Airhead Female Lead,Rich Male Lead,Spoiled Female Lead,Opposites Attract"/>
    <s v="Kim Soo Hyun,Jun Ji Hyun,Park Hae Jin,Yoo In Na"/>
    <x v="0"/>
    <n v="0"/>
  </r>
  <r>
    <s v="True Beauty"/>
    <n v="2020"/>
    <n v="8.3000000000000007"/>
    <n v="162611"/>
    <n v="16"/>
    <d v="1899-12-30T01:15:00"/>
    <s v="Wednesday, Thursday"/>
    <s v="Comedy,Romance,Youth,Drama"/>
    <s v="Makeover,Beauty,Popular Male Lead,High School,Adapted From A Webtoon,Beauty Standards,Hidden Identity,Nice Female Lead,Transformation,Secret Crush"/>
    <s v="Mun Ka Young,Cha Eun Woo,Hwang In Youp"/>
    <x v="1"/>
    <n v="0"/>
  </r>
  <r>
    <s v="Healer"/>
    <n v="2014"/>
    <n v="8.8000000000000007"/>
    <n v="157401"/>
    <n v="20"/>
    <d v="1899-12-30T01:00:00"/>
    <s v="Monday, Tuesday"/>
    <s v="Action,Thriller,Mystery,Romance"/>
    <s v="Double Identity,Hidden Identity,Smart Male Lead,Badass Male Lead,Hardworking Female Lead,Childish Female Lead,Trauma,Sassy Female Lead,Death,Corruption"/>
    <s v="Ji Chang Wook,Park Min Young,Yoo Ji Tae"/>
    <x v="0"/>
    <n v="1"/>
  </r>
  <r>
    <s v="Squid Game"/>
    <n v="2021"/>
    <n v="8.4"/>
    <n v="157565"/>
    <n v="9"/>
    <d v="1899-12-30T01:00:00"/>
    <s v="Friday"/>
    <s v="Action,Thriller,Mystery,Drama"/>
    <s v="Death,Death Game,Poor Male Lead,Debt,Competition,Survival,Murder,Suspense,Friends To Enemies,Massacre"/>
    <s v="Lee Jung Jae,Park Hae Soo,Jung Ho Yeon,Wi Ha Joon"/>
    <x v="1"/>
    <n v="0"/>
  </r>
  <r>
    <s v="Moon Lovers: Scarlet Heart Ryeo"/>
    <n v="2016"/>
    <n v="8.6999999999999993"/>
    <n v="156474"/>
    <n v="20"/>
    <d v="1899-12-30T01:00:00"/>
    <s v="Monday, Tuesday"/>
    <s v="Historical,Romance,Fantasy,Melodrama"/>
    <s v="Goryeo Dynasty,Rivalry,Smart Male Lead,Love/Hate Relationship,Power Struggle,Jealousy,Possessive Male Lead,Secret Relationship,Sibling Rivalry,First Love"/>
    <s v="Lee Joon Gi,IU,Kang Ha Neul"/>
    <x v="0"/>
    <n v="0"/>
  </r>
  <r>
    <s v="Flower of Evil"/>
    <n v="2020"/>
    <n v="9.1"/>
    <n v="153200"/>
    <n v="16"/>
    <d v="1899-12-30T01:10:00"/>
    <s v="Wednesday, Thursday"/>
    <s v="Thriller,Romance,Crime,Melodrama"/>
    <s v="Detective Female Lead,Psychological,Family Secret,Mystery,Suspense,Hidden Personality,Antisocial Personality Disorder,Investigation,Detective Fiction,Smart Female Lead"/>
    <s v="Lee Jon Gi,Moon Chae Won,Jang Hee Jin,Seo Hyun Woo"/>
    <x v="1"/>
    <n v="1"/>
  </r>
  <r>
    <s v="Pinocchio"/>
    <n v="2014"/>
    <n v="8.3000000000000007"/>
    <n v="151350"/>
    <n v="20"/>
    <d v="1899-12-30T00:58:00"/>
    <s v="Wednesday, Thursday"/>
    <s v="Thriller,Mystery,Comedy,Romance"/>
    <s v="Hidden Identity,Double Identity,Journalism,Adopted Siblings Love,Cohabitation,Revenge,Wrongfully Accused,Bromance,Misunderstanding,Murder"/>
    <s v="Lee Jong Suk,Park Shin Hye,Kim Young Kwang,Lee Yoo Bi,Jin Kyung"/>
    <x v="0"/>
    <n v="0"/>
  </r>
  <r>
    <s v="Itaewon Class"/>
    <n v="2020"/>
    <n v="8.4"/>
    <n v="150987"/>
    <n v="16"/>
    <d v="1899-12-30T01:10:00"/>
    <s v="Friday, Saturday"/>
    <s v="Business,Romance,Life,Drama"/>
    <s v="Revenge,Time Skip,Smart Female Lead,Female Chases Male First,Badass Female Lead,Boss-Employee Relationship,Nice Male Lead,Adapted From A Webtoon,Love Triangle,Hardworking Male Lead"/>
    <s v="Park Seo Joon,Kim Da Mi,Kwon Na Ra,Yoo Jae Myung"/>
    <x v="1"/>
    <n v="0"/>
  </r>
  <r>
    <s v="The Legend of the Blue Sea"/>
    <n v="2016"/>
    <n v="8.3000000000000007"/>
    <n v="148563"/>
    <n v="20"/>
    <d v="1899-12-30T01:00:00"/>
    <s v="Wednesday, Thursday"/>
    <s v="Comedy,Romance,Drama,Fantasy"/>
    <s v="Naive Female Lead,Interspecies Romance,Cohabitation,First Love,Greed,Eccentric Female Lead,Hidden Identity,Fated Love,Mother-Son Relationship,Rich Male Lead"/>
    <s v="Jun Ji Hyun,Lee Min Ho"/>
    <x v="0"/>
    <n v="0"/>
  </r>
  <r>
    <s v="I'm Not a Robot"/>
    <n v="2017"/>
    <n v="8.3000000000000007"/>
    <n v="146959"/>
    <n v="32"/>
    <d v="1899-12-30T00:35:00"/>
    <s v="Wednesday, Thursday"/>
    <s v="Comedy,Romance,Drama,Sci-Fi"/>
    <s v="Haphephobia,Rich Male Lead,Robot,Eccentric Male Lead,Hardworking Female Lead,Double Identity,Healing,Sismance,Hidden Identity,Illness"/>
    <s v="Yoo Seung Ho,Chae Soo Bin,Uhm Ki Joon"/>
    <x v="2"/>
    <n v="0"/>
  </r>
  <r>
    <s v="Fight for My Way"/>
    <n v="2017"/>
    <n v="8.5"/>
    <n v="146512"/>
    <n v="16"/>
    <d v="1899-12-30T01:00:00"/>
    <s v="Monday, Tuesday"/>
    <s v="Business,Comedy,Romance,Sports"/>
    <s v="Friends To Lovers,Badass Male Lead,Character Development,First Love,Secondary Couple,Poor Male Lead,Hardworking Male Lead,Life Lesson,Nice Male Lead,Childish Male Lead"/>
    <s v="Park Seo Joon,Kim Ji Won,Ahn Jae Hong,Song Ha Yoon"/>
    <x v="2"/>
    <n v="0"/>
  </r>
  <r>
    <s v="My ID is Gangnam Beauty"/>
    <n v="2018"/>
    <n v="7.8"/>
    <n v="143909"/>
    <n v="16"/>
    <d v="1899-12-30T01:00:00"/>
    <s v="Friday, Saturday"/>
    <s v="Psychological,Romance,Youth,Drama"/>
    <s v="Beauty Standards,Nice Female Lead,Male Chases Female First,Plastic Surgery,Nice Male Lead,Adapted From A Webtoon,School Bullying,Age Gap [Real Life],Friends To Lovers,Calm Male Lead"/>
    <s v="Im Soo Hyang,Cha Eun Woo,Jo Woo Ri,Kwak Dong Yeon"/>
    <x v="2"/>
    <n v="0"/>
  </r>
  <r>
    <s v="Her Private Life"/>
    <n v="2019"/>
    <n v="8.3000000000000007"/>
    <n v="138021"/>
    <n v="16"/>
    <d v="1899-12-30T01:15:00"/>
    <s v="Wednesday, Thursday"/>
    <s v="Business,Comedy,Romance,Drama"/>
    <s v="Boss-Employee Relationship,Independent Female Lead,Orphan Male Lead,Smart Male Lead,Calm Male Lead,Sismance,Fan Culture,Eccentric Female Lead,Hidden Personality,Art"/>
    <s v="Park Min Young,Kim Jae Wook"/>
    <x v="2"/>
    <n v="0"/>
  </r>
  <r>
    <s v="Suspicious Partner"/>
    <n v="2017"/>
    <n v="8.3000000000000007"/>
    <n v="137092"/>
    <n v="40"/>
    <d v="1899-12-30T00:30:00"/>
    <s v="Wednesday, Thursday"/>
    <s v="Thriller,Comedy,Law,Romance"/>
    <s v="Cohabitation,Nice Male Lead,Hardworking Female Lead,Smart Male Lead,Nice Female Lead,Wrongfully Accused,Poor Female Lead,Opposites Attract,Bromance,Boss-Employee Relationship"/>
    <s v="Ji Chang Wook,Nam Ji Hyun,Choi Tae Joon,Kwon Na Ra"/>
    <x v="2"/>
    <n v="0"/>
  </r>
  <r>
    <s v="Extraordinary You"/>
    <n v="2019"/>
    <n v="8.3000000000000007"/>
    <n v="136969"/>
    <n v="32"/>
    <d v="1899-12-30T00:35:00"/>
    <s v="Wednesday, Thursday"/>
    <s v="Comedy,Romance,Youth,Fantasy"/>
    <s v="Sassy Female Lead,Nice Male Lead,Adapted From A Webtoon,High School,Illness,Height Difference,Love Triangle,Character Development,Amnesia,Multiple Mains"/>
    <s v="Kim Hye Yoon,Ro Woon,Lee Jae Wook,Lee Na Eun,Kim Young Dae,Jung Gun Joo,Lee Tae Ri"/>
    <x v="2"/>
    <n v="0"/>
  </r>
  <r>
    <s v="Hometown Cha-Cha-Cha"/>
    <n v="2021"/>
    <n v="8.6999999999999993"/>
    <n v="132071"/>
    <n v="16"/>
    <d v="1899-12-30T01:20:00"/>
    <s v="Saturday, Sunday"/>
    <s v="Comedy,Romance,Life,Drama"/>
    <s v="Nice Male Lead,Character Development,Nice Female Lead,Cheerful Male Lead,Hardworking Female Lead,Hardworking Male Lead,Opposites Attract,Confident Female Lead,Smart Female Lead,Healing"/>
    <s v="Shin Min Ah,Kim Seon Ho,Lee Sang Yi"/>
    <x v="1"/>
    <n v="0"/>
  </r>
  <r>
    <s v="Extraordinary Attorney Woo"/>
    <n v="2022"/>
    <n v="8.9"/>
    <n v="131188"/>
    <n v="16"/>
    <d v="1899-12-30T01:10:00"/>
    <s v="Wednesday, Thursday"/>
    <s v="Law,Romance,Life,Drama"/>
    <s v="Autistic Female Lead,Autism,Attorney Female Lead,Smart Female Lead,Workplace Setting,Nice Male Lead,Father-Daughter Relationship,Courtroom Setting,Single Mother/Father Supporting Character,Slow Burn Romance"/>
    <s v="Park Eun Bin,Kang Tae Oh,Kang Ki Young"/>
    <x v="1"/>
    <n v="1"/>
  </r>
  <r>
    <s v="Alchemy of Souls"/>
    <n v="2022"/>
    <n v="9.1"/>
    <n v="129020"/>
    <n v="20"/>
    <d v="1899-12-30T01:20:00"/>
    <s v="Saturday, Sunday"/>
    <s v="Action,Historical,Romance,Fantasy"/>
    <s v="Transmigration,Master-Disciple Relationship,Hidden Identity,Supernatural,Body Swap,Elemental Power,Fake Identity,Comedy,Master-Servant Relationship,Flashback To Past"/>
    <s v="Lee Jae Wook,Jung So Min"/>
    <x v="1"/>
    <n v="1"/>
  </r>
  <r>
    <s v="Because This Is My First Life"/>
    <n v="2017"/>
    <n v="8.4"/>
    <n v="124319"/>
    <n v="16"/>
    <d v="1899-12-30T01:10:00"/>
    <s v="Monday, Tuesday"/>
    <s v="Comedy,Romance,Life,Drama"/>
    <s v="Contract Relationship,Marriage Of Convenience,Eccentric Male Lead,Multiple Couples,Multiple Mains,Cohabitation,Calm Male Lead,Sismance,Nerdy Male Lead,Healing"/>
    <s v="Jung So Min,Lee Min Ki,Esom,Park Byung Eun,Kim Ga Eun,Kim Min Seok"/>
    <x v="2"/>
    <n v="0"/>
  </r>
  <r>
    <s v="Love Alarm"/>
    <n v="2019"/>
    <n v="7.1"/>
    <n v="123882"/>
    <n v="8"/>
    <d v="1899-12-30T00:50:00"/>
    <s v="Thursday"/>
    <s v="Comedy,Romance,Youth,Drama"/>
    <s v="Male Chases Female First,Love Triangle,First Love,Trauma,Adapted From A Webtoon,Rich Male Lead,Heartbreak,Bromance,Rich Man/Poor Woman,Suicide"/>
    <s v="Kim So Hyun,Jung Ga Ram,Song Kang"/>
    <x v="2"/>
    <n v="0"/>
  </r>
  <r>
    <s v="Reply 1988"/>
    <n v="2015"/>
    <n v="9.1"/>
    <n v="123446"/>
    <n v="20"/>
    <d v="1899-12-30T01:35:00"/>
    <s v="Friday, Saturday"/>
    <s v="Comedy,Romance,Life,Youth"/>
    <s v="Nostalgia,Multiple Couples,Poor Family,Love Triangle,Friendship,High School,Mother-Son Relationship,Coming Of Age,Bromance,Poor Female Lead"/>
    <s v="Lee Hye Ri,Go Kyung Pyo,Ryu Jun Yeol,Park Bo Gum,Lee Dong Hwi"/>
    <x v="0"/>
    <n v="1"/>
  </r>
  <r>
    <s v="The K2"/>
    <n v="2016"/>
    <n v="8.1999999999999993"/>
    <n v="120652"/>
    <n v="16"/>
    <d v="1899-12-30T01:00:00"/>
    <s v="Friday, Saturday"/>
    <s v="Action,Thriller,Psychological,Romance"/>
    <s v="Badass Male Lead,Political,Trauma,Power Struggle,Aggressive Male Lead,Naive Female Lead,Revenge,Suspense,Hardworking Male Lead,Birth Secret"/>
    <s v="Ji Chang Wook,Im Yoon Ah,Song Yoon Ah,Jo Sung Ha"/>
    <x v="0"/>
    <n v="0"/>
  </r>
  <r>
    <s v="Hospital Playlist"/>
    <n v="2020"/>
    <n v="9.1"/>
    <n v="119851"/>
    <n v="12"/>
    <d v="1899-12-30T01:30:00"/>
    <s v="Thursday"/>
    <s v="Comedy,Life,Drama,Medical"/>
    <s v="Friendship,Multiple Mains,Slow Romance,Multiple Couples,Healing,Bromance,Slight Romance,Smart Female Lead,Nice Male Lead,Music"/>
    <s v="Jo Jung Suk,Yoo Yeon Seok,Jung Kyung Ho,Kim Dae Myung,Jeon Mi Do"/>
    <x v="1"/>
    <n v="1"/>
  </r>
  <r>
    <s v="Sweet Home"/>
    <n v="2020"/>
    <n v="8.6999999999999993"/>
    <n v="119232"/>
    <n v="10"/>
    <d v="1899-12-30T00:52:00"/>
    <s v="Friday"/>
    <s v="Action,Horror,Drama,Sci-Fi"/>
    <s v="Monster,Survival,Character Development,Gore,Supernatural Phenomena,Trauma,Adapted From A Webtoon,Paranormal,Death,Nice Male Lead"/>
    <s v="Song Kang,Lee Jin Wook,Lee Si Young,Lee Do Hyun,Kim Nam Hee,Go Min Si,Park Gyu Young,Go Youn Jung,Kim Gab Soo,Kim Sang Ho"/>
    <x v="1"/>
    <n v="0"/>
  </r>
  <r>
    <s v="Romance Is a Bonus Book"/>
    <n v="2019"/>
    <n v="8.1"/>
    <n v="119071"/>
    <n v="16"/>
    <d v="1899-12-30T01:02:00"/>
    <s v="Saturday, Sunday"/>
    <s v="Business,Comedy,Romance,Melodrama"/>
    <s v="Friends To Lovers,Cohabitation,Successful Male Lead,Smart Male Lead,Nice Male Lead,Slow Burn Romance,Older Woman/Younger Man,Secret Crush,Love Triangle,Boss-Employee Relationship"/>
    <s v="Lee Na Young,Lee Jong Suk,Jung Eugene,Wi Ha Joon"/>
    <x v="2"/>
    <n v="0"/>
  </r>
  <r>
    <s v="Kill Me, Heal Me"/>
    <n v="2015"/>
    <n v="8.6999999999999993"/>
    <n v="118665"/>
    <n v="20"/>
    <d v="1899-12-30T01:02:00"/>
    <s v="Wednesday, Thursday"/>
    <s v="Psychological,Comedy,Romance,Drama"/>
    <s v="Dissociative Identity Disorder,Trauma,Boss-Employee Relationship,Rich Male Lead,Nice Male Lead,Mean Male Lead,Rich Man/Poor Woman,Psychiatrist Female Lead,Doctor Female Lead,Doctor-Patient Relationship"/>
    <s v="Ji Sung,Hwang Jung Eum,Park Seo Joon,Kim Yoo Ri,Oh Min Suk"/>
    <x v="0"/>
    <n v="0"/>
  </r>
  <r>
    <s v="Cinderella and the Four Knights"/>
    <n v="2016"/>
    <n v="7.8"/>
    <n v="118752"/>
    <n v="16"/>
    <d v="1899-12-30T01:00:00"/>
    <s v="Friday, Saturday"/>
    <s v="Comedy,Romance,Drama"/>
    <s v="Cohabitation,Hardworking Female Lead,Reverse-Harem,Rich Male Lead,Rich Man/Poor Woman,Cold Man/Warm Woman,Multiple Mains,Forbidden Love,First Love,Adapted From A Manhwa"/>
    <s v="Park So Dam,Jung Il Woo,Ahn Jae Hyun,Lee Jung Shin,Choi Shang,Son Na Eun"/>
    <x v="0"/>
    <n v="0"/>
  </r>
  <r>
    <s v="She Was Pretty"/>
    <n v="2015"/>
    <n v="8"/>
    <n v="117331"/>
    <n v="16"/>
    <d v="1899-12-30T01:00:00"/>
    <s v="Wednesday, Thursday"/>
    <s v="Comedy,Romance,Drama"/>
    <s v="Misunderstanding,Makeover,Hardworking Female Lead,Character Development,Nice Female Lead,Mean Male Lead,Sassy Female Lead,Unrequited Love,First Love,Hidden Identity"/>
    <s v="Hwang Jung Eum,Park Seo Joon,Go Joon Hee,Choi Si Won"/>
    <x v="0"/>
    <n v="0"/>
  </r>
  <r>
    <s v="Doom at Your Service"/>
    <n v="2021"/>
    <n v="8.4"/>
    <n v="115340"/>
    <n v="16"/>
    <d v="1899-12-30T01:05:00"/>
    <s v="Monday, Tuesday"/>
    <s v="Comedy,Romance,Drama,Fantasy"/>
    <s v="Terminal Illness,Illness,Brain Cancer,Supernatural Power,Hardworking Female Lead,Fate,Unlucky Female Lead,First Love,Glioblastoma,Eccentric Male Lead"/>
    <s v="Park Bo Young,Seo In Guk,Lee Soo Hyuk,Kang Tae Oh,Shin Do Hyun"/>
    <x v="1"/>
    <n v="0"/>
  </r>
  <r>
    <s v="Tale of the Nine-Tailed"/>
    <n v="2020"/>
    <n v="8.3000000000000007"/>
    <n v="115256"/>
    <n v="16"/>
    <d v="1899-12-30T01:10:00"/>
    <s v="Wednesday, Thursday"/>
    <s v="Thriller,Horror,Romance,Fantasy"/>
    <s v="Nine-tailed Fox,Reincarnation,Supernatural,Sibling Rivalry,Fated Love,Bromance,Interspecies Romance,Mythical Being,Hardworking Female Lead,Smart Female Lead"/>
    <s v="Lee Dong Wook,Jo Bo Ah,Kim Bum"/>
    <x v="1"/>
    <n v="0"/>
  </r>
  <r>
    <s v="The Glory"/>
    <n v="2022"/>
    <n v="8.9"/>
    <n v="115593"/>
    <n v="8"/>
    <d v="1899-12-30T00:50:00"/>
    <s v="Friday"/>
    <s v="Thriller,Drama,Melodrama"/>
    <s v="Revenge,School Bullying,School Violence,Sexual Content,Social Issues,Doctor Male Lead,Time Skip,Antiheroine Female Lead,Nonlinear Narrative,Teacher Female Lead"/>
    <s v="Song Hye Kyo,Lee Do Hyun,Im Ji Yeon,Yeom Hye Ran,Park Sung Hoon,Jung Sung Il"/>
    <x v="1"/>
    <n v="1"/>
  </r>
  <r>
    <s v="The King: Eternal Monarch"/>
    <n v="2020"/>
    <n v="8.1"/>
    <n v="113545"/>
    <n v="16"/>
    <d v="1899-12-30T01:10:00"/>
    <s v="Friday, Saturday"/>
    <s v="Mystery,Romance,Drama,Sci-Fi"/>
    <s v="Parallel Universe,Doppelganger,Male Lead Saves Female Lead,Royalty,Male Chases Female First,Murder,Monarchy,Treason,Rich Male Lead,Greed"/>
    <s v="Lee Min Ho,Kim Go Eun,Woo Do Hwan,Lee Jung Jin,Kim Kyung Nam,Jung Eun Chae"/>
    <x v="1"/>
    <n v="0"/>
  </r>
  <r>
    <s v="Twenty-Five Twenty-One"/>
    <n v="2022"/>
    <n v="8.8000000000000007"/>
    <n v="112814"/>
    <n v="16"/>
    <d v="1899-12-30T01:15:00"/>
    <s v="Saturday, Sunday"/>
    <s v="Romance,Life,Drama,Melodrama"/>
    <s v="Coming Of Age,Nostalgia,Fencing,Nice Male Lead,Friendship,Character Development,Competition,IMF Crisis,High School To Working Life,Reporter Male Lead"/>
    <s v="Kim Tae Ri,Nam Joo Hyuk,Bona,Choi Hyun Wook,Lee Jo Myung"/>
    <x v="1"/>
    <n v="1"/>
  </r>
  <r>
    <s v="Move To Heaven"/>
    <n v="2021"/>
    <n v="9.1"/>
    <n v="112905"/>
    <n v="10"/>
    <d v="1899-12-30T00:52:00"/>
    <s v="Friday"/>
    <s v="Life,Drama"/>
    <s v="Uncle-Nephew Relationship,Autism,Death,Tearjerker,Savant Syndrome,Life Lesson,Asperger‚Äôs Syndrome,Autistic Male Lead,Smart Male Lead,Murder"/>
    <s v="Lee Je Hoon,Tang Jun Sang,Hong Seung Hee"/>
    <x v="1"/>
    <n v="1"/>
  </r>
  <r>
    <s v="Start-Up"/>
    <n v="2020"/>
    <n v="8.1"/>
    <n v="111863"/>
    <n v="16"/>
    <d v="1899-12-30T01:25:00"/>
    <s v="Saturday, Sunday"/>
    <s v="Business,Comedy,Romance,Youth"/>
    <s v="Competition,Unrequited Love,Hardworking Male Lead,Hardworking Female Lead,Artificial Intelligence,Nice Female Lead,Love Triangle,Raised By Grandmother,Grandma-Granddaughter Relationship,Sibling Rivalry"/>
    <s v="Bae Suzy,Nam Joo Hyuk,Kim Seon Ho,Kang Han Na"/>
    <x v="1"/>
    <n v="0"/>
  </r>
  <r>
    <s v="Touch Your Heart"/>
    <n v="2019"/>
    <n v="8.1999999999999993"/>
    <n v="111341"/>
    <n v="16"/>
    <d v="1899-12-30T01:10:00"/>
    <s v="Wednesday, Thursday"/>
    <s v="Comedy,Law,Romance,Drama"/>
    <s v="Hardworking Male Lead,Hardworking Female Lead,Nice Male Lead,Calm Male Lead,Opposites Attract,Smart Male Lead,Smart Female Lead,Naive Female Lead,Entertainment Industry,Successful Male Lead"/>
    <s v="Lee Dong Wook,Yoo In Na,Lee Sang Woo,Son Sung Yoon"/>
    <x v="2"/>
    <n v="0"/>
  </r>
  <r>
    <s v="My Name"/>
    <n v="2021"/>
    <n v="8.6999999999999993"/>
    <n v="109078"/>
    <n v="8"/>
    <d v="1899-12-30T00:50:00"/>
    <s v="Friday"/>
    <s v="Action,Thriller,Mystery,Crime"/>
    <s v="Criminal Organization,Badass Female Lead,Revenge,Murder,Trauma,Hidden Identity,Gang,Double Identity,Noir,Death"/>
    <s v="Han So Hee,Park Hee Soon,Ahn Bo Hyun"/>
    <x v="1"/>
    <n v="0"/>
  </r>
  <r>
    <s v="Hwarang"/>
    <n v="2016"/>
    <n v="8"/>
    <n v="108253"/>
    <n v="20"/>
    <d v="1899-12-30T01:00:00"/>
    <s v="Monday, Tuesday"/>
    <s v="Action,Historical,Comedy,Romance"/>
    <s v="Hwarang,Bromance,Love Triangle,Identity Swap,Silla Dynasty,Competition,Jinheung,Nice Male Lead,Hardworking Male Lead,Death"/>
    <s v="Park Seo Joon,Go A Ra,Park Hyung Sik"/>
    <x v="0"/>
    <n v="0"/>
  </r>
  <r>
    <s v="The Uncanny Counter"/>
    <n v="2020"/>
    <n v="8.8000000000000007"/>
    <n v="107940"/>
    <n v="16"/>
    <d v="1899-12-30T01:10:00"/>
    <s v="Saturday, Sunday"/>
    <s v="Action,Mystery,Drama,Supernatural"/>
    <s v="Found Family,Righteous Male Lead,Evil Spirit,Teamwork,Orphan Male Lead,Multiple Mains,Spirit,Nice Male Lead,Hidden Identity,School Bullying"/>
    <s v="Cho Byeong Kyu,Yoo Joon Sang,Kim Se Jeong,Yeom Hye Ran,Ahn Suk Hwan"/>
    <x v="1"/>
    <n v="1"/>
  </r>
  <r>
    <s v="Cheese in the Trap"/>
    <n v="2016"/>
    <n v="7.4"/>
    <n v="107382"/>
    <n v="16"/>
    <d v="1899-12-30T01:05:00"/>
    <s v="Monday, Tuesday"/>
    <s v="Psychological,Romance,Life,Drama"/>
    <s v="Adapted From A Webtoon,Rich Male Lead,Stalking,Enemies To Lovers,Cold Male Lead,Possessive Male Lead,Love Triangle,School Bullying,Smart Female Lead,Smart Male Lead"/>
    <s v="Kim Go Eun,Park Hae Jin,Seo Kang Joon,Lee Sung Kyung"/>
    <x v="0"/>
    <n v="0"/>
  </r>
  <r>
    <s v="Oh My Venus"/>
    <n v="2015"/>
    <n v="8.1999999999999993"/>
    <n v="106826"/>
    <n v="16"/>
    <d v="1899-12-30T01:00:00"/>
    <s v="Monday, Tuesday"/>
    <s v="Comedy,Law,Romance,Life"/>
    <s v="Weight Loss,Makeover,Cohabitation,Bromance,Rich Male Lead,Hidden Identity,Hardworking Male Lead,Hardworking Female Lead,Multiple Couples,Successful Male Lead"/>
    <s v="So Ji Sub,Shin Min Ah,Jung Gyu Woon,Yoo In Young"/>
    <x v="0"/>
    <n v="0"/>
  </r>
  <r>
    <s v="Our Beloved Summer"/>
    <n v="2021"/>
    <n v="8.6"/>
    <n v="106851"/>
    <n v="16"/>
    <d v="1899-12-30T01:00:00"/>
    <s v="Monday, Tuesday"/>
    <s v="Romance,Life,Youth,Drama"/>
    <s v="Lovers Reunited,High School Sweethearts,First Love,Healing,Flashback To Past,Love/Hate Relationship,Interview,Second Chance Romance,Coming Of Age,Character Development"/>
    <s v="Choi Woo Shik,Kim Da Mi,Kim Sung Cheol,Roh Jeong Eui"/>
    <x v="1"/>
    <n v="0"/>
  </r>
  <r>
    <s v="Secret Garden"/>
    <n v="2010"/>
    <n v="8.1999999999999993"/>
    <n v="106262"/>
    <n v="20"/>
    <d v="1899-12-30T01:05:00"/>
    <s v="Saturday, Sunday"/>
    <s v="Comedy,Romance,Melodrama,Supernatural"/>
    <s v="Body Swap,Rich Man/Poor Woman,Hardworking Female Lead,Male Chases Female First,Hot-tempered Female Lead,Rich Male Lead,Character Development,Obsessive Male Lead,Love Triangle,Secondary Couple"/>
    <s v="Hyun Bin,Ha Ji Won,Yoon Sang Hyun,Kim Sa Rang"/>
    <x v="3"/>
    <n v="0"/>
  </r>
  <r>
    <s v="Mr. Queen"/>
    <n v="2020"/>
    <n v="9"/>
    <n v="104211"/>
    <n v="20"/>
    <d v="1899-12-30T01:15:00"/>
    <s v="Saturday, Sunday"/>
    <s v="Historical,Comedy,Romance,Fantasy"/>
    <s v="Transmigration,Sassy Female Lead,Eccentric Female Lead,Joseon Dynasty,Calm Male Lead,Time Travel,Palace Setting,Marriage Of Convenience,Gender Swap,Smart Male Lead"/>
    <s v="Shin Hye Sun,Kim Jung Hyun"/>
    <x v="1"/>
    <n v="1"/>
  </r>
  <r>
    <s v="Coffee Prince"/>
    <n v="2007"/>
    <n v="8.3000000000000007"/>
    <n v="104033"/>
    <n v="17"/>
    <d v="1899-12-30T01:00:00"/>
    <s v="Monday, Tuesday"/>
    <s v="Food,Comedy,Romance,Drama"/>
    <s v="Cross-Dressing,Hidden Identity,Boss-Employee Relationship,Family Pressure,Hardworking Female Lead,Eccentric Female Lead,Barista Female Lead,Tomboy Female Lead,Character Development,Rich Man/Poor Woman"/>
    <s v="Gong Yoo,Yoon Eun Hye,Lee Sun Kyun,Chae Jung An"/>
    <x v="3"/>
    <n v="0"/>
  </r>
  <r>
    <s v="King The Land"/>
    <n v="2023"/>
    <n v="8.1999999999999993"/>
    <n v="103492"/>
    <n v="16"/>
    <d v="1899-12-30T01:11:00"/>
    <s v="Saturday, Sunday"/>
    <s v="Comedy,Romance"/>
    <s v="Hotel Setting,Male Chases Female First,Best Friends' Relationship,Hardworking Female Lead,Workplace Setting,Rich Male Lead,Secondary Couple,Opposites Attract,Sibling Rivalry,Hotel Management"/>
    <s v="Lee Jun Ho,Im Yoon Ah"/>
    <x v="4"/>
    <n v="0"/>
  </r>
  <r>
    <s v="Oh My Ghost"/>
    <n v="2015"/>
    <n v="8.3000000000000007"/>
    <n v="102877"/>
    <n v="16"/>
    <d v="1899-12-30T01:00:00"/>
    <s v="Friday, Saturday"/>
    <s v="Thriller,Comedy,Romance,Supernatural"/>
    <s v="Boss-Employee Relationship,Identity Swap,Hardworking Male Lead,Successful Male Lead,Ghost-seeing Female Lead,Sismance,Love Triangle,Cold Man/Warm Woman,Female Chases Male First,Shamanism"/>
    <s v="Park Bo Young,Jo Jung Suk,Im Joo Hwan,Kim Seul Gi"/>
    <x v="0"/>
    <n v="0"/>
  </r>
  <r>
    <s v="Weak Hero Class 1"/>
    <n v="2022"/>
    <n v="9.1"/>
    <n v="102071"/>
    <n v="8"/>
    <d v="1899-12-30T00:40:00"/>
    <s v="Friday"/>
    <s v="Action,Youth,Drama"/>
    <s v="Teenager Male Lead,Violence,Friendship,School Bullying,Skilled Fighter,School Setting,Social Issues,Bromance,High School,Introverted Male Lead"/>
    <s v="Park Ji Hoon,Choi Hyun Wook,Hong Kyung,Kim Su Gyeom"/>
    <x v="1"/>
    <n v="1"/>
  </r>
  <r>
    <s v="Nevertheless"/>
    <n v="2021"/>
    <n v="7.4"/>
    <n v="101676"/>
    <n v="10"/>
    <d v="1899-12-30T01:08:00"/>
    <s v="Saturday"/>
    <s v="Romance,Life,Youth,Drama"/>
    <s v="Multiple Couples,Love Triangle,Playboy Male Lead,Adapted From A Webtoon,Friends With Benefits,Inner Monologue,Sexual Content,Fast Paced Romance,Playful Male Lead,Flirty Male Lead"/>
    <s v="Han So Hee,Song Kang,Chae Jong Hyeop,Lee Yeol Eum,Yang Hye Ji"/>
    <x v="1"/>
    <n v="0"/>
  </r>
  <r>
    <s v="All of Us Are Dead"/>
    <n v="2022"/>
    <n v="8.5"/>
    <n v="101710"/>
    <n v="12"/>
    <d v="1899-12-30T01:02:00"/>
    <s v="Friday"/>
    <s v="Action,Thriller,Horror,Sci-Fi"/>
    <s v="Survival,Zombies,Death,Zombie Apocalypse,Virus,Gore,Slight Romance,High School,Friendship,School Bullying"/>
    <s v="Park Ji Hu,Yoon Chan Young,Lomon,Cho Yi Hyun"/>
    <x v="1"/>
    <n v="0"/>
  </r>
  <r>
    <s v="A Korean Odyssey"/>
    <n v="2017"/>
    <n v="8.1999999999999993"/>
    <n v="101149"/>
    <n v="20"/>
    <d v="1899-12-30T01:20:00"/>
    <s v="Saturday, Sunday"/>
    <s v="Horror,Comedy,Romance,Fantasy"/>
    <s v="Ghost-seeing Female Lead,Supernatural Power,Demon,Aggressive Male Lead,Ghost,Love/Hate Relationship,Eccentric Male Lead,Bromance,Mean Male Lead,Adapted From A Novel"/>
    <s v="Lee Seung Gi,Cha Seung Won,Oh Yeon Seo,Lee Hong Ki,Jang Gwang"/>
    <x v="2"/>
    <n v="0"/>
  </r>
  <r>
    <s v="Abyss"/>
    <n v="2019"/>
    <n v="7.8"/>
    <n v="100611"/>
    <n v="16"/>
    <d v="1899-12-30T01:00:00"/>
    <s v="Monday, Tuesday"/>
    <s v="Mystery,Comedy,Romance,Fantasy"/>
    <s v="Murder,Reincarnation,Nice Male Lead,Death,Hidden Identity,Investigation,Supernatural,Age Gap [Real Life],Hardworking Female Lead,Smart Female Lead"/>
    <s v="Park Bo Young,Ahn Hyo Seop"/>
    <x v="2"/>
    <n v="0"/>
  </r>
  <r>
    <s v="My Demon"/>
    <n v="2023"/>
    <n v="8.1999999999999993"/>
    <n v="100446"/>
    <n v="16"/>
    <d v="1899-12-30T01:06:00"/>
    <s v="Friday, Saturday"/>
    <s v="Action,Comedy,Romance,Fantasy"/>
    <s v="Demon Male Lead,Supernatural,Heiress Female Lead,Supernatural Power,Sassy Female Lead,Contract Relationship,Rich Female Lead,Age Gap [Real Life],Orphan Female Lead,Interspecies Romance"/>
    <s v="Kim You Jung,Song Kang"/>
    <x v="4"/>
    <n v="0"/>
  </r>
  <r>
    <s v="Tomorrow"/>
    <n v="2022"/>
    <n v="8.8000000000000007"/>
    <n v="99622"/>
    <n v="16"/>
    <d v="1899-12-30T01:00:00"/>
    <s v="Friday, Saturday"/>
    <s v="Action,Thriller,Drama,Fantasy"/>
    <s v="Grim Reaper Female Lead,Grim Reaper Male Lead,Underworld,Attempted Suicide,Death,Suicide,Afterlife,Suicide Prevention,Coma,Team Leader Female Lead"/>
    <s v="Kim Hee Sun,Ro Woon,Lee Soo Hyuk,Yun Jin On"/>
    <x v="1"/>
    <n v="1"/>
  </r>
  <r>
    <s v="Run On"/>
    <n v="2020"/>
    <n v="8.1999999999999993"/>
    <n v="98094"/>
    <n v="16"/>
    <d v="1899-12-30T01:10:00"/>
    <s v="Wednesday, Thursday"/>
    <s v="Romance,Life,Drama,Sports"/>
    <s v="Calm Male Lead,Multiple Couples,Nice Male Lead,Hardworking Female Lead,Eccentric Male Lead,Smart Female Lead,Famous Male Lead,Father-Son Relationship,Translator Female Lead,Healing"/>
    <s v="Yim Si Wan,Shin Sae Kyeong,Choi Soo Young,Kang Tae Oh"/>
    <x v="1"/>
    <n v="0"/>
  </r>
  <r>
    <s v="Happiness"/>
    <n v="2021"/>
    <n v="8.8000000000000007"/>
    <n v="98169"/>
    <n v="12"/>
    <d v="1899-12-30T01:05:00"/>
    <s v="Friday, Saturday"/>
    <s v="Action,Thriller,Drama,Sci-Fi"/>
    <s v="Infectious Disease,Quarantine,Detective Male Lead,Virus,Slow Burn Romance,Survival,Healthy Mains‚Äô Relationship,Illness,Determined Female Lead,Smart Male Lead"/>
    <s v="Han Hyo Joo,Park Hyung Sik,Jo Woo Jin"/>
    <x v="1"/>
    <n v="1"/>
  </r>
  <r>
    <s v="Twinkling Watermelon"/>
    <n v="2023"/>
    <n v="9.1999999999999993"/>
    <n v="98619"/>
    <n v="16"/>
    <d v="1899-12-30T01:10:00"/>
    <s v="Monday, Tuesday"/>
    <s v="Romance,Youth,Drama,Fantasy"/>
    <s v="Time Travel,Child From The Future,Sign Language,Father-Son Relationship,Deafness,1990s,Music,Coming Of Age,Friendship,Comedy"/>
    <s v="Ryeoun,Choi Hyun Wook,Seol In Ah,Shin Eun Soo"/>
    <x v="4"/>
    <n v="1"/>
  </r>
  <r>
    <s v="The Bride of Habaek"/>
    <n v="2017"/>
    <n v="7.4"/>
    <n v="97361"/>
    <n v="16"/>
    <d v="1899-12-30T01:10:00"/>
    <s v="Monday, Tuesday"/>
    <s v="Comedy,Romance,Drama,Fantasy"/>
    <s v="Interspecies Romance,Steamy Kiss,Supernatural Power,Poor Female Lead,Eccentric Male Lead,Arrogant Male Lead,Healing,Elemental Power,Orphan Female Lead,Supernatural"/>
    <s v="Shin Sae Kyeong,Nam Joo Hyuk,Im Joo Hwan,Krystal Jung,Gong Myung"/>
    <x v="2"/>
    <n v="0"/>
  </r>
  <r>
    <s v="Vagabond"/>
    <n v="2019"/>
    <n v="8.5"/>
    <n v="97211"/>
    <n v="16"/>
    <d v="1899-12-30T01:10:00"/>
    <s v="Friday, Saturday"/>
    <s v="Action,Thriller,Mystery,Crime"/>
    <s v="Corruption,Death,Revenge,National Intelligence Service,Blackmail,Teamwork,Power Struggle,Smart Male Lead,Slow Burn Romance,Conspiracy"/>
    <s v="Lee Seung Gi,Bae Suzy,Shin Sung Rok"/>
    <x v="2"/>
    <n v="0"/>
  </r>
  <r>
    <s v="Angel's Last Mission: Love"/>
    <n v="2019"/>
    <n v="8.4"/>
    <n v="96957"/>
    <n v="32"/>
    <d v="1899-12-30T00:35:00"/>
    <s v="Wednesday, Thursday"/>
    <s v="Comedy,Romance,Drama,Fantasy"/>
    <s v="Nice Male Lead,Warm Man/Cold Woman,Orphan Female Lead,Opposites Attract,Ballet,Tearjerker,Rich Female Lead,Male Chases Female First,Cohabitation,Hidden Identity"/>
    <s v="L,Shin Hye Sun,Lee Dong Gun,Kim Bo Mi"/>
    <x v="2"/>
    <n v="0"/>
  </r>
  <r>
    <s v="I Hear Your Voice"/>
    <n v="2013"/>
    <n v="8.5"/>
    <n v="96680"/>
    <n v="18"/>
    <d v="1899-12-30T01:00:00"/>
    <s v="Wednesday, Thursday"/>
    <s v="Mystery,Law,Romance,Supernatural"/>
    <s v="Revenge,Smart Female Lead,Trauma,Older Woman/Younger Man,Male Chases Female First,Mind Reading,Cohabitation,Love Triangle,Death,Orphan Male Lead"/>
    <s v="Lee Jong Suk,Lee Bo Young,Yoon Sang Hyun,Lee Da Hee"/>
    <x v="0"/>
    <n v="0"/>
  </r>
  <r>
    <s v="He Is Psychometric"/>
    <n v="2019"/>
    <n v="8.3000000000000007"/>
    <n v="96254"/>
    <n v="16"/>
    <d v="1899-12-30T01:04:00"/>
    <s v="Monday, Tuesday"/>
    <s v="Thriller,Mystery,Romance,Supernatural"/>
    <s v="Psychometry,Nice Male Lead,Smart Female Lead,Bromance,Death,Slow Romance,Sassy Female Lead,Investigation,Supernatural Power,Airhead Male Lead"/>
    <s v="Park Jin Young,Shin Ye Eun,Kim Kwon,Kim Da Som"/>
    <x v="2"/>
    <n v="0"/>
  </r>
  <r>
    <s v="My Secret Romance"/>
    <n v="2017"/>
    <n v="7.6"/>
    <n v="95779"/>
    <n v="13"/>
    <d v="1899-12-30T01:00:00"/>
    <s v="Monday, Tuesday"/>
    <s v="Comedy,Romance,Life,Drama"/>
    <s v="One-night Stand,Rich Man/Poor Woman,Boss-Employee Relationship,Fast Paced Romance,Rich Male Lead,Cooking,Love Triangle,Mother-Daughter Relationship,Mean Male Lead,Meet Again"/>
    <s v="Sung Hoon,Song Ji Eun,Kim Jae Young,Jung Da Sol"/>
    <x v="2"/>
    <n v="0"/>
  </r>
  <r>
    <s v="My Roommate Is a Gumiho"/>
    <n v="2021"/>
    <n v="8.3000000000000007"/>
    <n v="94650"/>
    <n v="16"/>
    <d v="1899-12-30T01:10:00"/>
    <s v="Wednesday, Thursday"/>
    <s v="Comedy,Romance,Fantasy"/>
    <s v="Calm Male Lead,Straightforward Female Lead,Cohabitation,Adapted From A Webtoon,Nine-tailed Fox,Friendship,Supernatural,Multiple Mains,Nice Male Lead,Multiple Couples"/>
    <s v="Jang Ki Yong,Lee Hye Ri,Kang Han Na,Kim Do Wan,Bae In Hyuk"/>
    <x v="1"/>
    <n v="0"/>
  </r>
  <r>
    <s v="Lovely Runner"/>
    <n v="2024"/>
    <n v="9"/>
    <n v="95003"/>
    <n v="16"/>
    <d v="1899-12-30T01:10:00"/>
    <s v="Monday, Tuesday"/>
    <s v="Music,Comedy,Romance,Fantasy"/>
    <s v="Butterfly Effect,Second Chance,Time Travel,Passionate Male Lead,Time Altering,Famous Male Lead,Love At First Sight,Determined Female Lead,Age Gap [Real Life],Past And Present"/>
    <s v="Byeon Woo Seok,Kim Hye Yoon,Song Geon Hee,Lee Seung Hyub"/>
    <x v="4"/>
    <n v="1"/>
  </r>
  <r>
    <s v="It's Okay, That's Love"/>
    <n v="2014"/>
    <n v="8.6"/>
    <n v="93742"/>
    <n v="16"/>
    <d v="1899-12-30T01:00:00"/>
    <s v="Wednesday, Thursday"/>
    <s v="Comedy,Romance,Drama,Melodrama"/>
    <s v="Trauma,Healing,Cohabitation,Rich Male Lead,Hallucination,Cheerful Male Lead,Tourette Syndrome,Male Chases Female First,Heartbreak,Psychiatrist Female Lead"/>
    <s v="Zo In Sung,Gong Hyo Jin"/>
    <x v="0"/>
    <n v="0"/>
  </r>
  <r>
    <s v="You're Beautiful"/>
    <n v="2009"/>
    <n v="8"/>
    <n v="93683"/>
    <n v="16"/>
    <d v="1899-12-30T01:05:00"/>
    <s v="Wednesday, Thursday"/>
    <s v="Music,Comedy,Romance,Drama"/>
    <s v="Gender Bender,Cross-Dressing,Identity Swap,Singing,Love Triangle,Twin Exchange,Bromance,Cold Male Lead,Nice Female Lead,Cold Man/Warm Woman"/>
    <s v="Jang Geun Suk,Park Shin Hye,Jung Yong Hwa,Lee Hong Ki"/>
    <x v="3"/>
    <n v="0"/>
  </r>
  <r>
    <s v="Just Between Lovers"/>
    <n v="2017"/>
    <n v="8.5"/>
    <n v="93464"/>
    <n v="16"/>
    <d v="1899-12-30T01:13:00"/>
    <s v="Monday, Tuesday"/>
    <s v="Psychological,Romance,Melodrama"/>
    <s v="Trauma,Orphan Male Lead,Healing,Death,Hardworking Female Lead,Fated Love,Hardworking Male Lead,Phobia,Poor Male Lead,Disaster"/>
    <s v="Lee Jun Ho,Won Jin A,Lee Ki Woo,Kang Han Na"/>
    <x v="2"/>
    <n v="0"/>
  </r>
  <r>
    <s v="Playful Kiss"/>
    <n v="2010"/>
    <n v="7.2"/>
    <n v="92398"/>
    <n v="16"/>
    <d v="1899-12-30T01:05:00"/>
    <s v="Wednesday, Thursday"/>
    <s v="Comedy,Romance,Drama"/>
    <s v="Cohabitation,Adapted From A Manga,First Love,Unrequited Love,Mean Male Lead,Female Chases Male First,High School,Love Triangle,Smart Male Lead,Cold Male Lead"/>
    <s v="Kim Hyun Joong,Jung So Min,Lee Tae Sung"/>
    <x v="3"/>
    <n v="0"/>
  </r>
  <r>
    <s v="Queen of Tears"/>
    <n v="2024"/>
    <n v="8.8000000000000007"/>
    <n v="92911"/>
    <s v="a"/>
    <d v="1899-12-30T01:28:00"/>
    <s v="Saturday, Sunday"/>
    <s v="Comedy,Romance,Life,Drama"/>
    <s v="Rich Family,Company President (CEO) Female Lead,Lawyer Male Lead,Black Comedy,Heiress Female Lead,Second Chance Romance,Married Life,Illness,Conglomerate,Prestigious Family"/>
    <s v="Kim Soo Hyun,Kim Ji Won,Park Sung Hoon,Kwak Dong Yeon,Lee Joo Bin"/>
    <x v="4"/>
    <n v="1"/>
  </r>
  <r>
    <s v="City Hunter"/>
    <n v="2011"/>
    <n v="8.3000000000000007"/>
    <n v="91101"/>
    <n v="20"/>
    <d v="1899-12-30T01:10:00"/>
    <s v="Wednesday, Thursday"/>
    <s v="Action,Thriller,Crime"/>
    <s v="Hidden Identity,Revenge,Corruption,Adapted From A Manga,Smart Male Lead,Romance,Death,Rich Man/Poor Woman,Bromance,Badass Male Lead"/>
    <s v="Lee Min Ho,Park Min Young,Lee Joon Hyuk,Kim Sang Joong"/>
    <x v="3"/>
    <n v="0"/>
  </r>
  <r>
    <s v="The Master's Sun"/>
    <n v="2013"/>
    <n v="8.5"/>
    <n v="89772"/>
    <n v="17"/>
    <d v="1899-12-30T01:02:00"/>
    <s v="Wednesday, Thursday"/>
    <s v="Horror,Comedy,Romance,Supernatural"/>
    <s v="Ghost,Eccentric Female Lead,Ghost-seeing Female Lead,Rich Male Lead,Clingy Female Lead,Successful Male Lead,Trauma,Secondary Couple,Eccentric Male Lead,Hidden Identity"/>
    <s v="Gong Hyo Jin,So Ji Sub,Seo In Guk,Kim Yoo Ri"/>
    <x v="0"/>
    <n v="0"/>
  </r>
  <r>
    <s v="Who Are You: School 2015"/>
    <n v="2015"/>
    <n v="8.1999999999999993"/>
    <n v="89619"/>
    <n v="16"/>
    <d v="1899-12-30T01:00:00"/>
    <s v="Monday, Tuesday"/>
    <s v="Mystery,Romance,Youth,Drama"/>
    <s v="Identity Swap,School Bullying,School Problems,High School,Amnesia,Love Triangle,Trauma,Hidden Identity,Orphan Female Lead,Tearjerker"/>
    <s v="Kim So Hyun,Nam Joo Hyuk,Yook Sung Jae"/>
    <x v="0"/>
    <n v="0"/>
  </r>
  <r>
    <s v="The Beauty Inside"/>
    <n v="2018"/>
    <n v="8.3000000000000007"/>
    <n v="89618"/>
    <n v="16"/>
    <d v="1899-12-30T01:10:00"/>
    <s v="Monday, Tuesday"/>
    <s v="Comedy,Romance,Melodrama,Supernatural"/>
    <s v="Prosopagnosia,Successful Male Lead,Calm Male Lead,Secondary Couple,Contract Relationship,Famous Female Lead,Rich Female Lead,Rich Male Lead,Sismance,Secret"/>
    <s v="Seo Hyun Jin,Lee Min Ki,Lee Da Hee,Ahn Jae Hyun"/>
    <x v="2"/>
    <n v="0"/>
  </r>
  <r>
    <s v="Love in the Moonlight"/>
    <n v="2016"/>
    <n v="8.1999999999999993"/>
    <n v="88407"/>
    <n v="18"/>
    <d v="1899-12-30T00:59:00"/>
    <s v="Monday, Tuesday"/>
    <s v="Historical,Comedy,Romance,Drama"/>
    <s v="Cross-Dressing,Joseon Dynasty,Hidden Identity,First Love,Male Chases Female First,Lovers Separated,Forbidden Love,Opposites Attract,Royalty,Bromance"/>
    <s v="Park Bo Gum,Kim You Jung,Jung Jin Young,Kwak Dong Yeon,Chae Soo Bin"/>
    <x v="0"/>
    <n v="0"/>
  </r>
  <r>
    <s v="Bring It On, Ghost"/>
    <n v="2016"/>
    <n v="8.1"/>
    <n v="87779"/>
    <n v="16"/>
    <d v="1899-12-30T01:00:00"/>
    <s v="Monday, Tuesday"/>
    <s v="Horror,Comedy,Romance,Supernatural"/>
    <s v="Ghost,Ghost-seeing Male Lead,Exorcism,Interspecies Romance,Nice Male Lead,Badass Female Lead,Adapted From A Webtoon,Sassy Female Lead,Bromance,Death"/>
    <s v="Ok Taec Yeon,Kim So Hyun,Kwon Yul"/>
    <x v="0"/>
    <n v="0"/>
  </r>
  <r>
    <s v="Signal"/>
    <n v="2016"/>
    <n v="8.9"/>
    <n v="87499"/>
    <n v="16"/>
    <d v="1899-12-30T01:15:00"/>
    <s v="Friday, Saturday"/>
    <s v="Thriller,Mystery,Sci-Fi"/>
    <s v="Different Timelines,Butterfly Effect,Murder,Hwaseong Serial Murders,Suspense,Investigation,Death,Corruption,Time Altering,Smart Female Lead"/>
    <s v="Lee Je Hoon,Kim Hye Soo,Jo Jin Woong"/>
    <x v="0"/>
    <n v="1"/>
  </r>
  <r>
    <s v="Uncontrollably Fond"/>
    <n v="2016"/>
    <n v="8.1"/>
    <n v="86949"/>
    <n v="20"/>
    <d v="1899-12-30T01:00:00"/>
    <s v="Wednesday, Thursday"/>
    <s v="Comedy,Romance,Drama,Melodrama"/>
    <s v="Terminal Illness,Tearjerker,Male Chases Female First,Poor Female Lead,Star Crossed Lovers,Rich Male Lead,Illness,Age Gap [Real Life],Singer Male Lead,Naive Female Lead"/>
    <s v="Kim Woo Bin,Bae Suzy,Im Joo Hwan,Im Ju Eun"/>
    <x v="0"/>
    <n v="0"/>
  </r>
  <r>
    <s v="Prison Playbook"/>
    <n v="2017"/>
    <n v="8.9"/>
    <n v="86122"/>
    <n v="16"/>
    <d v="1899-12-30T01:32:00"/>
    <s v="Wednesday, Thursday"/>
    <s v="Comedy,Crime,Life,Drama"/>
    <s v="Life Lesson,Prison Setting,Bromance,Wrongfully Accused,Character Development,Slight Romance,Best Friends' Relationship,Murder,Prisoner Male Lead,Black Comedy"/>
    <s v="Park Hae Soo,Jung Kyung Ho"/>
    <x v="2"/>
    <n v="1"/>
  </r>
  <r>
    <s v="The Glory Part 2"/>
    <n v="2023"/>
    <n v="9"/>
    <n v="85137"/>
    <n v="8"/>
    <d v="1899-12-30T00:55:00"/>
    <s v="Friday"/>
    <s v="Thriller,Drama,Melodrama"/>
    <s v="Revenge,Graphic Violence,Brief Nudity,Domestic Violence,Suspense,Nudity,Trauma,Sexual Assault,Perpetrator-Victim Relationship,Doctor Male Lead"/>
    <s v="Song Hye Kyo,Lee Do Hyun,Im Ji Yeon,Yeom Hye Ran,Park Sung Hoon,Jung Sung Il"/>
    <x v="4"/>
    <n v="1"/>
  </r>
  <r>
    <s v="Extracurricular"/>
    <n v="2020"/>
    <n v="8.3000000000000007"/>
    <n v="84878"/>
    <n v="10"/>
    <d v="1899-12-30T00:55:00"/>
    <s v="Wednesday"/>
    <s v="Psychological,Crime,Youth,Drama"/>
    <s v="Sex Trafficking,Prostitution,Illegal Business,High School,Smart Male Lead,Violence,Rich Female Lead,School Bullying,Slight Romance,Child Abandonment"/>
    <s v="Kim Dong Hee,Park Ju Hyun,Jung Da Bin,Nam Yoon Su"/>
    <x v="1"/>
    <n v="0"/>
  </r>
  <r>
    <s v="My Mister"/>
    <n v="2018"/>
    <n v="9"/>
    <n v="84371"/>
    <n v="16"/>
    <d v="1899-12-30T01:17:00"/>
    <s v="Wednesday, Thursday"/>
    <s v="Psychological,Life,Drama"/>
    <s v="Nice Male Lead,Depression,Healing,Poor Female Lead,Infidelity,Power Struggle,Grandma-Granddaughter Relationship,Smart Female Lead,Warm Man/Cold Woman,Corruption"/>
    <s v="Lee Sun Kyun,IU"/>
    <x v="2"/>
    <n v="1"/>
  </r>
  <r>
    <s v="Dream High"/>
    <n v="2011"/>
    <n v="8"/>
    <n v="83783"/>
    <n v="16"/>
    <d v="1899-12-30T01:10:00"/>
    <s v="Monday, Tuesday"/>
    <s v="Music,Comedy,Romance,Drama"/>
    <s v="High School,School Bullying,Love Triangle,Character Development,Youth,Friends To Lovers,Multiple Mains,Cohabitation,Weight Loss,Friendship"/>
    <s v="Bae Suzy,Kim Soo Hyun,Ok Taec Yeon,Ham Eun Jung,Jang Woo Young,IU"/>
    <x v="3"/>
    <n v="0"/>
  </r>
  <r>
    <s v="18 Again"/>
    <n v="2020"/>
    <n v="8.6"/>
    <n v="83582"/>
    <n v="16"/>
    <d v="1899-12-30T01:10:00"/>
    <s v="Monday, Tuesday"/>
    <s v="Romance,Life,Drama,Fantasy"/>
    <s v="First Love,Father-Son Relationship,Father-Daughter Relationship,Hardworking Female Lead,Mother-Daughter Relationship,Life Lesson,Becoming Young,Hidden Identity,Character Development,Teenage Pregnancy"/>
    <s v="Kim Ha Neul,Yoon Sang Hyun,Lee Do Hyun"/>
    <x v="1"/>
    <n v="0"/>
  </r>
  <r>
    <s v="Something in the Rain"/>
    <n v="2018"/>
    <n v="8"/>
    <n v="83265"/>
    <n v="16"/>
    <d v="1899-12-30T01:15:00"/>
    <s v="Friday, Saturday"/>
    <s v="Business,Romance,Life,Melodrama"/>
    <s v="Family Pressure,Nice Male Lead,Forbidden Love,Older Woman/Younger Man,Sexual Harassment,Male Chases Female First,Disapproving Parent,Secret Relationship,Family Dispute,Sismance"/>
    <s v="Son Ye Jin,Jung Hae In"/>
    <x v="2"/>
    <n v="0"/>
  </r>
  <r>
    <s v="Doctor Strange"/>
    <n v="2014"/>
    <n v="7.9"/>
    <n v="82611"/>
    <n v="20"/>
    <d v="1899-12-30T01:00:00"/>
    <s v="Monday, Tuesday"/>
    <s v="Thriller,Romance,Drama,Medical"/>
    <s v="Nice Male Lead,Love Triangle,Scheme,Hidden Identity,Love Square,Kidnapping,Second Chance,Emotionally Strong Female Lead,Emotionally Strong Male Lead,North Korean Female Lead"/>
    <s v="Lee Jong Suk,Jin Se Yeon,Kang So Ra,Park Hae Jin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92800-FFEB-B948-BAAD-9760CD407BE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20" firstHeaderRow="1" firstDataRow="1" firstDataCol="1"/>
  <pivotFields count="11">
    <pivotField showAll="0"/>
    <pivotField axis="axisRow" showAll="0">
      <items count="17">
        <item x="12"/>
        <item x="7"/>
        <item x="11"/>
        <item x="15"/>
        <item x="8"/>
        <item x="9"/>
        <item x="10"/>
        <item x="0"/>
        <item x="5"/>
        <item x="2"/>
        <item x="3"/>
        <item x="1"/>
        <item x="6"/>
        <item x="4"/>
        <item x="13"/>
        <item x="14"/>
        <item t="default"/>
      </items>
    </pivotField>
    <pivotField dataField="1" showAll="0"/>
    <pivotField numFmtId="3" showAll="0"/>
    <pivotField showAll="0"/>
    <pivotField numFmtId="20" showAll="0"/>
    <pivotField showAll="0"/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Rating" fld="2" subtotal="average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10682E-70B3-D74B-B148-A6D83F9078F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B20" firstHeaderRow="1" firstDataRow="1" firstDataCol="1"/>
  <pivotFields count="11">
    <pivotField dataField="1" showAll="0"/>
    <pivotField axis="axisRow" showAll="0">
      <items count="17">
        <item x="12"/>
        <item x="7"/>
        <item x="11"/>
        <item x="15"/>
        <item x="8"/>
        <item x="9"/>
        <item x="10"/>
        <item x="0"/>
        <item x="5"/>
        <item x="2"/>
        <item x="3"/>
        <item x="1"/>
        <item x="6"/>
        <item x="4"/>
        <item x="13"/>
        <item x="14"/>
        <item t="default"/>
      </items>
    </pivotField>
    <pivotField showAll="0"/>
    <pivotField numFmtId="3" showAll="0"/>
    <pivotField showAll="0"/>
    <pivotField numFmtId="20" showAll="0"/>
    <pivotField showAll="0"/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Na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42C80-6F85-AF45-B78E-A11D9599D622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9" firstHeaderRow="1" firstDataRow="1" firstDataCol="1"/>
  <pivotFields count="12">
    <pivotField showAll="0"/>
    <pivotField showAll="0"/>
    <pivotField showAll="0"/>
    <pivotField dataField="1" numFmtId="3" showAll="0"/>
    <pivotField showAll="0"/>
    <pivotField numFmtId="20"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Watchers" fld="3" subtotal="average" baseField="0" baseItem="0" numFmtId="3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42F1DC-BBE0-704A-BCEE-AEB814D0D3EA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0" firstDataRow="1" firstDataCol="1"/>
  <pivotFields count="11">
    <pivotField dataField="1" showAll="0"/>
    <pivotField showAll="0">
      <items count="18">
        <item x="12"/>
        <item x="7"/>
        <item x="11"/>
        <item x="15"/>
        <item x="8"/>
        <item x="9"/>
        <item x="10"/>
        <item x="0"/>
        <item x="5"/>
        <item x="2"/>
        <item x="3"/>
        <item x="1"/>
        <item x="6"/>
        <item x="4"/>
        <item x="13"/>
        <item x="14"/>
        <item x="16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0"/>
        <item x="2"/>
        <item x="1"/>
        <item x="4"/>
        <item h="1" x="5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ating" fld="2" subtotal="average" baseField="0" baseItem="0" numFmtId="164"/>
    <dataField name="Average of Watchers" fld="3" subtotal="average" baseField="0" baseItem="0" numFmtId="3"/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83D0E-B8DA-864B-A1D3-8D4A54F0BA29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ra">
  <location ref="A3:E9" firstHeaderRow="0" firstDataRow="1" firstDataCol="1"/>
  <pivotFields count="12">
    <pivotField dataField="1" showAll="0"/>
    <pivotField showAll="0"/>
    <pivotField dataField="1" showAll="0"/>
    <pivotField dataField="1" numFmtId="3" showAll="0"/>
    <pivotField showAll="0"/>
    <pivotField numFmtId="20"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dataField="1"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Rating" fld="2" subtotal="average" baseField="0" baseItem="0" numFmtId="164"/>
    <dataField name="Average Watchers" fld="3" subtotal="average" baseField="0" baseItem="0" numFmtId="3"/>
    <dataField name="Number of Dramas" fld="0" subtotal="count" baseField="0" baseItem="0"/>
    <dataField name="% Rated ≥8.8" fld="11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AC8D-6148-A34E-AF56-79371071975E}">
  <dimension ref="A3:B20"/>
  <sheetViews>
    <sheetView workbookViewId="0">
      <selection activeCell="P17" sqref="P17"/>
    </sheetView>
  </sheetViews>
  <sheetFormatPr baseColWidth="10" defaultRowHeight="16" x14ac:dyDescent="0.2"/>
  <cols>
    <col min="1" max="1" width="13" bestFit="1" customWidth="1"/>
    <col min="2" max="2" width="15.5" bestFit="1" customWidth="1"/>
  </cols>
  <sheetData>
    <row r="3" spans="1:2" x14ac:dyDescent="0.2">
      <c r="A3" s="4" t="s">
        <v>398</v>
      </c>
      <c r="B3" t="s">
        <v>406</v>
      </c>
    </row>
    <row r="4" spans="1:2" x14ac:dyDescent="0.2">
      <c r="A4" s="5">
        <v>2007</v>
      </c>
      <c r="B4" s="8">
        <v>8.3000000000000007</v>
      </c>
    </row>
    <row r="5" spans="1:2" x14ac:dyDescent="0.2">
      <c r="A5" s="5">
        <v>2009</v>
      </c>
      <c r="B5" s="8">
        <v>7.75</v>
      </c>
    </row>
    <row r="6" spans="1:2" x14ac:dyDescent="0.2">
      <c r="A6" s="5">
        <v>2010</v>
      </c>
      <c r="B6" s="8">
        <v>7.6999999999999993</v>
      </c>
    </row>
    <row r="7" spans="1:2" x14ac:dyDescent="0.2">
      <c r="A7" s="5">
        <v>2011</v>
      </c>
      <c r="B7" s="8">
        <v>8.15</v>
      </c>
    </row>
    <row r="8" spans="1:2" x14ac:dyDescent="0.2">
      <c r="A8" s="5">
        <v>2013</v>
      </c>
      <c r="B8" s="8">
        <v>8.2750000000000004</v>
      </c>
    </row>
    <row r="9" spans="1:2" x14ac:dyDescent="0.2">
      <c r="A9" s="5">
        <v>2014</v>
      </c>
      <c r="B9" s="8">
        <v>8.4</v>
      </c>
    </row>
    <row r="10" spans="1:2" x14ac:dyDescent="0.2">
      <c r="A10" s="5">
        <v>2015</v>
      </c>
      <c r="B10" s="8">
        <v>8.4166666666666661</v>
      </c>
    </row>
    <row r="11" spans="1:2" x14ac:dyDescent="0.2">
      <c r="A11" s="5">
        <v>2016</v>
      </c>
      <c r="B11" s="8">
        <v>8.34</v>
      </c>
    </row>
    <row r="12" spans="1:2" x14ac:dyDescent="0.2">
      <c r="A12" s="5">
        <v>2017</v>
      </c>
      <c r="B12" s="8">
        <v>8.2799999999999994</v>
      </c>
    </row>
    <row r="13" spans="1:2" x14ac:dyDescent="0.2">
      <c r="A13" s="5">
        <v>2018</v>
      </c>
      <c r="B13" s="8">
        <v>8.32</v>
      </c>
    </row>
    <row r="14" spans="1:2" x14ac:dyDescent="0.2">
      <c r="A14" s="5">
        <v>2019</v>
      </c>
      <c r="B14" s="8">
        <v>8.2363636363636363</v>
      </c>
    </row>
    <row r="15" spans="1:2" x14ac:dyDescent="0.2">
      <c r="A15" s="5">
        <v>2020</v>
      </c>
      <c r="B15" s="8">
        <v>8.5642857142857132</v>
      </c>
    </row>
    <row r="16" spans="1:2" x14ac:dyDescent="0.2">
      <c r="A16" s="5">
        <v>2021</v>
      </c>
      <c r="B16" s="8">
        <v>8.5299999999999994</v>
      </c>
    </row>
    <row r="17" spans="1:2" x14ac:dyDescent="0.2">
      <c r="A17" s="5">
        <v>2022</v>
      </c>
      <c r="B17" s="8">
        <v>8.8500000000000014</v>
      </c>
    </row>
    <row r="18" spans="1:2" x14ac:dyDescent="0.2">
      <c r="A18" s="5">
        <v>2023</v>
      </c>
      <c r="B18" s="8">
        <v>8.6499999999999986</v>
      </c>
    </row>
    <row r="19" spans="1:2" x14ac:dyDescent="0.2">
      <c r="A19" s="5">
        <v>2024</v>
      </c>
      <c r="B19" s="8">
        <v>8.9</v>
      </c>
    </row>
    <row r="20" spans="1:2" x14ac:dyDescent="0.2">
      <c r="A20" s="5" t="s">
        <v>404</v>
      </c>
      <c r="B20" s="8">
        <v>8.411999999999999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40AE-DD92-A748-85DA-DEE0E4EFD286}">
  <dimension ref="A3:B20"/>
  <sheetViews>
    <sheetView topLeftCell="A2" workbookViewId="0">
      <selection activeCell="H35" sqref="H35"/>
    </sheetView>
  </sheetViews>
  <sheetFormatPr baseColWidth="10" defaultRowHeight="16" x14ac:dyDescent="0.2"/>
  <cols>
    <col min="1" max="1" width="13" bestFit="1" customWidth="1"/>
    <col min="2" max="2" width="13.5" bestFit="1" customWidth="1"/>
  </cols>
  <sheetData>
    <row r="3" spans="1:2" x14ac:dyDescent="0.2">
      <c r="A3" s="4" t="s">
        <v>398</v>
      </c>
      <c r="B3" t="s">
        <v>405</v>
      </c>
    </row>
    <row r="4" spans="1:2" x14ac:dyDescent="0.2">
      <c r="A4" s="5">
        <v>2007</v>
      </c>
      <c r="B4" s="6">
        <v>1</v>
      </c>
    </row>
    <row r="5" spans="1:2" x14ac:dyDescent="0.2">
      <c r="A5" s="5">
        <v>2009</v>
      </c>
      <c r="B5" s="6">
        <v>2</v>
      </c>
    </row>
    <row r="6" spans="1:2" x14ac:dyDescent="0.2">
      <c r="A6" s="5">
        <v>2010</v>
      </c>
      <c r="B6" s="6">
        <v>2</v>
      </c>
    </row>
    <row r="7" spans="1:2" x14ac:dyDescent="0.2">
      <c r="A7" s="5">
        <v>2011</v>
      </c>
      <c r="B7" s="6">
        <v>2</v>
      </c>
    </row>
    <row r="8" spans="1:2" x14ac:dyDescent="0.2">
      <c r="A8" s="5">
        <v>2013</v>
      </c>
      <c r="B8" s="6">
        <v>4</v>
      </c>
    </row>
    <row r="9" spans="1:2" x14ac:dyDescent="0.2">
      <c r="A9" s="5">
        <v>2014</v>
      </c>
      <c r="B9" s="6">
        <v>4</v>
      </c>
    </row>
    <row r="10" spans="1:2" x14ac:dyDescent="0.2">
      <c r="A10" s="5">
        <v>2015</v>
      </c>
      <c r="B10" s="6">
        <v>6</v>
      </c>
    </row>
    <row r="11" spans="1:2" x14ac:dyDescent="0.2">
      <c r="A11" s="5">
        <v>2016</v>
      </c>
      <c r="B11" s="6">
        <v>15</v>
      </c>
    </row>
    <row r="12" spans="1:2" x14ac:dyDescent="0.2">
      <c r="A12" s="5">
        <v>2017</v>
      </c>
      <c r="B12" s="6">
        <v>10</v>
      </c>
    </row>
    <row r="13" spans="1:2" x14ac:dyDescent="0.2">
      <c r="A13" s="5">
        <v>2018</v>
      </c>
      <c r="B13" s="6">
        <v>5</v>
      </c>
    </row>
    <row r="14" spans="1:2" x14ac:dyDescent="0.2">
      <c r="A14" s="5">
        <v>2019</v>
      </c>
      <c r="B14" s="6">
        <v>11</v>
      </c>
    </row>
    <row r="15" spans="1:2" x14ac:dyDescent="0.2">
      <c r="A15" s="5">
        <v>2020</v>
      </c>
      <c r="B15" s="6">
        <v>14</v>
      </c>
    </row>
    <row r="16" spans="1:2" x14ac:dyDescent="0.2">
      <c r="A16" s="5">
        <v>2021</v>
      </c>
      <c r="B16" s="6">
        <v>10</v>
      </c>
    </row>
    <row r="17" spans="1:2" x14ac:dyDescent="0.2">
      <c r="A17" s="5">
        <v>2022</v>
      </c>
      <c r="B17" s="6">
        <v>8</v>
      </c>
    </row>
    <row r="18" spans="1:2" x14ac:dyDescent="0.2">
      <c r="A18" s="5">
        <v>2023</v>
      </c>
      <c r="B18" s="6">
        <v>4</v>
      </c>
    </row>
    <row r="19" spans="1:2" x14ac:dyDescent="0.2">
      <c r="A19" s="5">
        <v>2024</v>
      </c>
      <c r="B19" s="6">
        <v>2</v>
      </c>
    </row>
    <row r="20" spans="1:2" x14ac:dyDescent="0.2">
      <c r="A20" s="5" t="s">
        <v>404</v>
      </c>
      <c r="B20" s="6">
        <v>100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3E503-C4B4-0743-93A2-C06E14F53824}">
  <dimension ref="A3:B9"/>
  <sheetViews>
    <sheetView topLeftCell="B1" zoomScale="113" workbookViewId="0">
      <selection activeCell="F25" sqref="F25"/>
    </sheetView>
  </sheetViews>
  <sheetFormatPr baseColWidth="10" defaultRowHeight="16" x14ac:dyDescent="0.2"/>
  <cols>
    <col min="1" max="1" width="23.1640625" bestFit="1" customWidth="1"/>
    <col min="2" max="2" width="18.6640625" bestFit="1" customWidth="1"/>
    <col min="3" max="4" width="15.5" bestFit="1" customWidth="1"/>
  </cols>
  <sheetData>
    <row r="3" spans="1:2" x14ac:dyDescent="0.2">
      <c r="A3" s="4" t="s">
        <v>398</v>
      </c>
      <c r="B3" t="s">
        <v>407</v>
      </c>
    </row>
    <row r="4" spans="1:2" x14ac:dyDescent="0.2">
      <c r="A4" s="5" t="s">
        <v>399</v>
      </c>
      <c r="B4" s="1">
        <v>105887.57142857143</v>
      </c>
    </row>
    <row r="5" spans="1:2" x14ac:dyDescent="0.2">
      <c r="A5" s="5" t="s">
        <v>401</v>
      </c>
      <c r="B5" s="1">
        <v>134274.55172413794</v>
      </c>
    </row>
    <row r="6" spans="1:2" x14ac:dyDescent="0.2">
      <c r="A6" s="5" t="s">
        <v>402</v>
      </c>
      <c r="B6" s="1">
        <v>124320.80769230769</v>
      </c>
    </row>
    <row r="7" spans="1:2" x14ac:dyDescent="0.2">
      <c r="A7" s="5" t="s">
        <v>403</v>
      </c>
      <c r="B7" s="1">
        <v>122215.40625</v>
      </c>
    </row>
    <row r="8" spans="1:2" x14ac:dyDescent="0.2">
      <c r="A8" s="5" t="s">
        <v>400</v>
      </c>
      <c r="B8" s="1">
        <v>95934.666666666672</v>
      </c>
    </row>
    <row r="9" spans="1:2" x14ac:dyDescent="0.2">
      <c r="A9" s="5" t="s">
        <v>404</v>
      </c>
      <c r="B9" s="1">
        <v>123540.17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64B7-4761-AF4B-A95F-9F31DAC43EF0}">
  <dimension ref="A3:D25"/>
  <sheetViews>
    <sheetView zoomScale="75" zoomScaleNormal="88" workbookViewId="0">
      <selection activeCell="D4" sqref="D4"/>
    </sheetView>
  </sheetViews>
  <sheetFormatPr baseColWidth="10" defaultRowHeight="16" x14ac:dyDescent="0.2"/>
  <cols>
    <col min="1" max="1" width="23" bestFit="1" customWidth="1"/>
    <col min="2" max="2" width="15.5" bestFit="1" customWidth="1"/>
    <col min="3" max="3" width="18.33203125" bestFit="1" customWidth="1"/>
    <col min="4" max="4" width="13.5" bestFit="1" customWidth="1"/>
  </cols>
  <sheetData>
    <row r="3" spans="1:4" x14ac:dyDescent="0.2">
      <c r="A3" s="4" t="s">
        <v>398</v>
      </c>
      <c r="B3" t="s">
        <v>406</v>
      </c>
      <c r="C3" t="s">
        <v>407</v>
      </c>
      <c r="D3" t="s">
        <v>405</v>
      </c>
    </row>
    <row r="4" spans="1:4" x14ac:dyDescent="0.2">
      <c r="A4" s="5" t="s">
        <v>399</v>
      </c>
      <c r="B4" s="8">
        <v>7.9285714285714288</v>
      </c>
      <c r="C4" s="1">
        <v>105887.57142857143</v>
      </c>
      <c r="D4" s="6">
        <v>7</v>
      </c>
    </row>
    <row r="5" spans="1:4" x14ac:dyDescent="0.2">
      <c r="A5" s="5" t="s">
        <v>401</v>
      </c>
      <c r="B5" s="8">
        <v>8.3551724137931025</v>
      </c>
      <c r="C5" s="1">
        <v>134274.55172413794</v>
      </c>
      <c r="D5" s="6">
        <v>29</v>
      </c>
    </row>
    <row r="6" spans="1:4" x14ac:dyDescent="0.2">
      <c r="A6" s="5" t="s">
        <v>402</v>
      </c>
      <c r="B6" s="8">
        <v>8.2692307692307701</v>
      </c>
      <c r="C6" s="1">
        <v>124320.80769230769</v>
      </c>
      <c r="D6" s="6">
        <v>26</v>
      </c>
    </row>
    <row r="7" spans="1:4" x14ac:dyDescent="0.2">
      <c r="A7" s="5" t="s">
        <v>403</v>
      </c>
      <c r="B7" s="8">
        <v>8.625</v>
      </c>
      <c r="C7" s="1">
        <v>122215.40625</v>
      </c>
      <c r="D7" s="6">
        <v>32</v>
      </c>
    </row>
    <row r="8" spans="1:4" x14ac:dyDescent="0.2">
      <c r="A8" s="5" t="s">
        <v>400</v>
      </c>
      <c r="B8" s="8">
        <v>8.7333333333333325</v>
      </c>
      <c r="C8" s="1">
        <v>95934.666666666672</v>
      </c>
      <c r="D8" s="6">
        <v>6</v>
      </c>
    </row>
    <row r="9" spans="1:4" x14ac:dyDescent="0.2">
      <c r="A9" s="5" t="s">
        <v>404</v>
      </c>
      <c r="B9" s="8">
        <v>8.411999999999999</v>
      </c>
      <c r="C9" s="1">
        <v>123540.17</v>
      </c>
      <c r="D9" s="6">
        <v>100</v>
      </c>
    </row>
    <row r="19" spans="1:2" x14ac:dyDescent="0.2">
      <c r="A19" s="7" t="s">
        <v>398</v>
      </c>
      <c r="B19" s="7" t="s">
        <v>406</v>
      </c>
    </row>
    <row r="20" spans="1:2" x14ac:dyDescent="0.2">
      <c r="A20" s="5" t="s">
        <v>399</v>
      </c>
      <c r="B20" s="8">
        <v>7.9285714285714288</v>
      </c>
    </row>
    <row r="21" spans="1:2" x14ac:dyDescent="0.2">
      <c r="A21" s="5" t="s">
        <v>401</v>
      </c>
      <c r="B21" s="8">
        <v>8.3551724137931025</v>
      </c>
    </row>
    <row r="22" spans="1:2" x14ac:dyDescent="0.2">
      <c r="A22" s="5" t="s">
        <v>402</v>
      </c>
      <c r="B22" s="8">
        <v>8.2692307692307701</v>
      </c>
    </row>
    <row r="23" spans="1:2" x14ac:dyDescent="0.2">
      <c r="A23" s="5" t="s">
        <v>403</v>
      </c>
      <c r="B23" s="8">
        <v>8.625</v>
      </c>
    </row>
    <row r="24" spans="1:2" x14ac:dyDescent="0.2">
      <c r="A24" s="5" t="s">
        <v>400</v>
      </c>
      <c r="B24" s="8">
        <v>8.7333333333333325</v>
      </c>
    </row>
    <row r="25" spans="1:2" x14ac:dyDescent="0.2">
      <c r="A25" s="9" t="s">
        <v>404</v>
      </c>
      <c r="B25" s="10">
        <v>8.411999999999999</v>
      </c>
    </row>
  </sheetData>
  <sortState xmlns:xlrd2="http://schemas.microsoft.com/office/spreadsheetml/2017/richdata2" ref="A3:D9">
    <sortCondition ref="A6"/>
  </sortState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5E793-7CFE-2243-9D21-3A41ABFBC4A8}">
  <dimension ref="A3:E9"/>
  <sheetViews>
    <sheetView tabSelected="1" workbookViewId="0">
      <selection activeCell="A3" sqref="A3:E8"/>
    </sheetView>
  </sheetViews>
  <sheetFormatPr baseColWidth="10" defaultRowHeight="16" x14ac:dyDescent="0.2"/>
  <cols>
    <col min="1" max="1" width="23" bestFit="1" customWidth="1"/>
    <col min="2" max="2" width="13.5" bestFit="1" customWidth="1"/>
    <col min="3" max="3" width="16.33203125" bestFit="1" customWidth="1"/>
    <col min="4" max="4" width="17" bestFit="1" customWidth="1"/>
    <col min="5" max="5" width="11.83203125" bestFit="1" customWidth="1"/>
  </cols>
  <sheetData>
    <row r="3" spans="1:5" x14ac:dyDescent="0.2">
      <c r="A3" s="4" t="s">
        <v>396</v>
      </c>
      <c r="B3" t="s">
        <v>412</v>
      </c>
      <c r="C3" t="s">
        <v>411</v>
      </c>
      <c r="D3" t="s">
        <v>410</v>
      </c>
      <c r="E3" t="s">
        <v>409</v>
      </c>
    </row>
    <row r="4" spans="1:5" x14ac:dyDescent="0.2">
      <c r="A4" s="5" t="s">
        <v>399</v>
      </c>
      <c r="B4" s="8">
        <v>7.9285714285714288</v>
      </c>
      <c r="C4" s="1">
        <v>105887.57142857143</v>
      </c>
      <c r="D4" s="6">
        <v>7</v>
      </c>
      <c r="E4" s="11">
        <v>0</v>
      </c>
    </row>
    <row r="5" spans="1:5" x14ac:dyDescent="0.2">
      <c r="A5" s="5" t="s">
        <v>401</v>
      </c>
      <c r="B5" s="8">
        <v>8.3551724137931025</v>
      </c>
      <c r="C5" s="1">
        <v>134274.55172413794</v>
      </c>
      <c r="D5" s="6">
        <v>29</v>
      </c>
      <c r="E5" s="11">
        <v>0.17241379310344829</v>
      </c>
    </row>
    <row r="6" spans="1:5" x14ac:dyDescent="0.2">
      <c r="A6" s="5" t="s">
        <v>402</v>
      </c>
      <c r="B6" s="8">
        <v>8.2692307692307701</v>
      </c>
      <c r="C6" s="1">
        <v>124320.80769230769</v>
      </c>
      <c r="D6" s="6">
        <v>26</v>
      </c>
      <c r="E6" s="11">
        <v>0.11538461538461539</v>
      </c>
    </row>
    <row r="7" spans="1:5" x14ac:dyDescent="0.2">
      <c r="A7" s="5" t="s">
        <v>403</v>
      </c>
      <c r="B7" s="8">
        <v>8.625</v>
      </c>
      <c r="C7" s="1">
        <v>122215.40625</v>
      </c>
      <c r="D7" s="6">
        <v>32</v>
      </c>
      <c r="E7" s="11">
        <v>0.4375</v>
      </c>
    </row>
    <row r="8" spans="1:5" x14ac:dyDescent="0.2">
      <c r="A8" s="5" t="s">
        <v>400</v>
      </c>
      <c r="B8" s="8">
        <v>8.7333333333333325</v>
      </c>
      <c r="C8" s="1">
        <v>95934.666666666672</v>
      </c>
      <c r="D8" s="6">
        <v>6</v>
      </c>
      <c r="E8" s="11">
        <v>0.66666666666666663</v>
      </c>
    </row>
    <row r="9" spans="1:5" x14ac:dyDescent="0.2">
      <c r="A9" s="5" t="s">
        <v>404</v>
      </c>
      <c r="B9" s="8">
        <v>8.411999999999999</v>
      </c>
      <c r="C9" s="1">
        <v>123540.17</v>
      </c>
      <c r="D9" s="6">
        <v>100</v>
      </c>
      <c r="E9" s="11">
        <v>0.26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E75A-78FF-154F-A50A-721EF366B67D}">
  <dimension ref="A1:L101"/>
  <sheetViews>
    <sheetView zoomScale="56" zoomScaleNormal="87" workbookViewId="0">
      <selection activeCell="H4" sqref="H4"/>
    </sheetView>
  </sheetViews>
  <sheetFormatPr baseColWidth="10" defaultRowHeight="16" x14ac:dyDescent="0.2"/>
  <cols>
    <col min="10" max="10" width="10.83203125" style="3" customWidth="1"/>
    <col min="11" max="11" width="10.83203125" customWidth="1"/>
  </cols>
  <sheetData>
    <row r="1" spans="1:12" ht="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396</v>
      </c>
      <c r="L1" t="s">
        <v>408</v>
      </c>
    </row>
    <row r="2" spans="1:12" ht="119" x14ac:dyDescent="0.2">
      <c r="A2" t="s">
        <v>10</v>
      </c>
      <c r="B2">
        <v>2016</v>
      </c>
      <c r="C2">
        <v>8.8000000000000007</v>
      </c>
      <c r="D2" s="1">
        <v>254985</v>
      </c>
      <c r="E2">
        <v>16</v>
      </c>
      <c r="F2" s="2">
        <v>5.6944444444444443E-2</v>
      </c>
      <c r="G2" t="s">
        <v>11</v>
      </c>
      <c r="H2" t="s">
        <v>12</v>
      </c>
      <c r="I2" t="s">
        <v>13</v>
      </c>
      <c r="J2" s="3" t="s">
        <v>14</v>
      </c>
      <c r="K2" t="str">
        <f>IF(B2&lt;=2012,"Early Era (2007-2012)",IF(B2&lt;=2016,"Growth Era (2013-2016)",IF(B2&lt;=2019,"Peak Era (2017-2019)",IF(B2&lt;=2022,"Streaming Era (2020-2022)","Global Era (2023-2024)"))))</f>
        <v>Growth Era (2013-2016)</v>
      </c>
      <c r="L2">
        <f>IF(C2&gt;=8.8,1,0)</f>
        <v>1</v>
      </c>
    </row>
    <row r="3" spans="1:12" ht="85" x14ac:dyDescent="0.2">
      <c r="A3" t="s">
        <v>15</v>
      </c>
      <c r="B3">
        <v>2016</v>
      </c>
      <c r="C3">
        <v>8.6999999999999993</v>
      </c>
      <c r="D3" s="1">
        <v>239773</v>
      </c>
      <c r="E3">
        <v>16</v>
      </c>
      <c r="F3" s="2">
        <v>4.6527777777777779E-2</v>
      </c>
      <c r="G3" t="s">
        <v>11</v>
      </c>
      <c r="H3" t="s">
        <v>16</v>
      </c>
      <c r="I3" t="s">
        <v>17</v>
      </c>
      <c r="J3" s="3" t="s">
        <v>18</v>
      </c>
      <c r="K3" t="str">
        <f t="shared" ref="K3:K66" si="0">IF(B3&lt;=2012,"Early Era (2007-2012)",IF(B3&lt;=2016,"Growth Era (2013-2016)",IF(B3&lt;=2019,"Peak Era (2017-2019)",IF(B3&lt;=2022,"Streaming Era (2020-2022)","Global Era (2023-2024)"))))</f>
        <v>Growth Era (2013-2016)</v>
      </c>
      <c r="L3">
        <f t="shared" ref="L3:L66" si="1">IF(C3&gt;=8.8,1,0)</f>
        <v>0</v>
      </c>
    </row>
    <row r="4" spans="1:12" ht="68" x14ac:dyDescent="0.2">
      <c r="A4" t="s">
        <v>19</v>
      </c>
      <c r="B4">
        <v>2020</v>
      </c>
      <c r="C4">
        <v>8.9</v>
      </c>
      <c r="D4" s="1">
        <v>215957</v>
      </c>
      <c r="E4">
        <v>16</v>
      </c>
      <c r="F4" s="2">
        <v>5.2083333333333336E-2</v>
      </c>
      <c r="G4" t="s">
        <v>20</v>
      </c>
      <c r="H4" t="s">
        <v>21</v>
      </c>
      <c r="I4" t="s">
        <v>22</v>
      </c>
      <c r="J4" s="3" t="s">
        <v>23</v>
      </c>
      <c r="K4" t="str">
        <f t="shared" si="0"/>
        <v>Streaming Era (2020-2022)</v>
      </c>
      <c r="L4">
        <f t="shared" si="1"/>
        <v>1</v>
      </c>
    </row>
    <row r="5" spans="1:12" ht="85" x14ac:dyDescent="0.2">
      <c r="A5" t="s">
        <v>24</v>
      </c>
      <c r="B5">
        <v>2016</v>
      </c>
      <c r="C5">
        <v>8.6</v>
      </c>
      <c r="D5" s="1">
        <v>213187</v>
      </c>
      <c r="E5">
        <v>16</v>
      </c>
      <c r="F5" s="2">
        <v>4.1666666666666664E-2</v>
      </c>
      <c r="G5" t="s">
        <v>25</v>
      </c>
      <c r="H5" t="s">
        <v>16</v>
      </c>
      <c r="I5" t="s">
        <v>26</v>
      </c>
      <c r="J5" s="3" t="s">
        <v>27</v>
      </c>
      <c r="K5" t="str">
        <f t="shared" si="0"/>
        <v>Growth Era (2013-2016)</v>
      </c>
      <c r="L5">
        <f t="shared" si="1"/>
        <v>0</v>
      </c>
    </row>
    <row r="6" spans="1:12" ht="51" x14ac:dyDescent="0.2">
      <c r="A6" t="s">
        <v>28</v>
      </c>
      <c r="B6">
        <v>2018</v>
      </c>
      <c r="C6">
        <v>8.5</v>
      </c>
      <c r="D6" s="1">
        <v>212766</v>
      </c>
      <c r="E6">
        <v>16</v>
      </c>
      <c r="F6" s="2">
        <v>4.791666666666667E-2</v>
      </c>
      <c r="G6" t="s">
        <v>25</v>
      </c>
      <c r="H6" t="s">
        <v>29</v>
      </c>
      <c r="I6" t="s">
        <v>30</v>
      </c>
      <c r="J6" s="3" t="s">
        <v>31</v>
      </c>
      <c r="K6" t="str">
        <f t="shared" si="0"/>
        <v>Peak Era (2017-2019)</v>
      </c>
      <c r="L6">
        <f t="shared" si="1"/>
        <v>0</v>
      </c>
    </row>
    <row r="7" spans="1:12" ht="119" x14ac:dyDescent="0.2">
      <c r="A7" t="s">
        <v>32</v>
      </c>
      <c r="B7">
        <v>2016</v>
      </c>
      <c r="C7">
        <v>8.8000000000000007</v>
      </c>
      <c r="D7" s="1">
        <v>212406</v>
      </c>
      <c r="E7">
        <v>16</v>
      </c>
      <c r="F7" s="2">
        <v>4.1666666666666664E-2</v>
      </c>
      <c r="G7" t="s">
        <v>25</v>
      </c>
      <c r="H7" t="s">
        <v>33</v>
      </c>
      <c r="I7" t="s">
        <v>34</v>
      </c>
      <c r="J7" s="3" t="s">
        <v>35</v>
      </c>
      <c r="K7" t="str">
        <f t="shared" si="0"/>
        <v>Growth Era (2013-2016)</v>
      </c>
      <c r="L7">
        <f t="shared" si="1"/>
        <v>1</v>
      </c>
    </row>
    <row r="8" spans="1:12" ht="85" x14ac:dyDescent="0.2">
      <c r="A8" t="s">
        <v>36</v>
      </c>
      <c r="B8">
        <v>2019</v>
      </c>
      <c r="C8">
        <v>9</v>
      </c>
      <c r="D8" s="1">
        <v>208913</v>
      </c>
      <c r="E8">
        <v>16</v>
      </c>
      <c r="F8" s="2">
        <v>5.9027777777777776E-2</v>
      </c>
      <c r="G8" t="s">
        <v>37</v>
      </c>
      <c r="H8" t="s">
        <v>38</v>
      </c>
      <c r="I8" t="s">
        <v>39</v>
      </c>
      <c r="J8" s="3" t="s">
        <v>40</v>
      </c>
      <c r="K8" t="str">
        <f t="shared" si="0"/>
        <v>Peak Era (2017-2019)</v>
      </c>
      <c r="L8">
        <f t="shared" si="1"/>
        <v>1</v>
      </c>
    </row>
    <row r="9" spans="1:12" ht="51" x14ac:dyDescent="0.2">
      <c r="A9" t="s">
        <v>41</v>
      </c>
      <c r="B9">
        <v>2016</v>
      </c>
      <c r="C9">
        <v>8.5</v>
      </c>
      <c r="D9" s="1">
        <v>199073</v>
      </c>
      <c r="E9">
        <v>16</v>
      </c>
      <c r="F9" s="2">
        <v>4.1666666666666664E-2</v>
      </c>
      <c r="G9" t="s">
        <v>25</v>
      </c>
      <c r="H9" t="s">
        <v>42</v>
      </c>
      <c r="I9" t="s">
        <v>43</v>
      </c>
      <c r="J9" s="3" t="s">
        <v>44</v>
      </c>
      <c r="K9" t="str">
        <f t="shared" si="0"/>
        <v>Growth Era (2013-2016)</v>
      </c>
      <c r="L9">
        <f t="shared" si="1"/>
        <v>0</v>
      </c>
    </row>
    <row r="10" spans="1:12" ht="34" x14ac:dyDescent="0.2">
      <c r="A10" t="s">
        <v>45</v>
      </c>
      <c r="B10">
        <v>2019</v>
      </c>
      <c r="C10">
        <v>8.6</v>
      </c>
      <c r="D10" s="1">
        <v>183598</v>
      </c>
      <c r="E10">
        <v>16</v>
      </c>
      <c r="F10" s="2">
        <v>5.486111111111111E-2</v>
      </c>
      <c r="G10" t="s">
        <v>20</v>
      </c>
      <c r="H10" t="s">
        <v>46</v>
      </c>
      <c r="I10" t="s">
        <v>47</v>
      </c>
      <c r="J10" s="3" t="s">
        <v>48</v>
      </c>
      <c r="K10" t="str">
        <f t="shared" si="0"/>
        <v>Peak Era (2017-2019)</v>
      </c>
      <c r="L10">
        <f t="shared" si="1"/>
        <v>0</v>
      </c>
    </row>
    <row r="11" spans="1:12" ht="119" x14ac:dyDescent="0.2">
      <c r="A11" t="s">
        <v>49</v>
      </c>
      <c r="B11">
        <v>2022</v>
      </c>
      <c r="C11">
        <v>8.6999999999999993</v>
      </c>
      <c r="D11" s="1">
        <v>177633</v>
      </c>
      <c r="E11">
        <v>12</v>
      </c>
      <c r="F11" s="2">
        <v>4.1666666666666664E-2</v>
      </c>
      <c r="G11" t="s">
        <v>50</v>
      </c>
      <c r="H11" t="s">
        <v>51</v>
      </c>
      <c r="I11" t="s">
        <v>52</v>
      </c>
      <c r="J11" s="3" t="s">
        <v>53</v>
      </c>
      <c r="K11" t="str">
        <f t="shared" si="0"/>
        <v>Streaming Era (2020-2022)</v>
      </c>
      <c r="L11">
        <f t="shared" si="1"/>
        <v>0</v>
      </c>
    </row>
    <row r="12" spans="1:12" ht="119" x14ac:dyDescent="0.2">
      <c r="A12" t="s">
        <v>54</v>
      </c>
      <c r="B12">
        <v>2017</v>
      </c>
      <c r="C12">
        <v>8.6999999999999993</v>
      </c>
      <c r="D12" s="1">
        <v>176827</v>
      </c>
      <c r="E12">
        <v>32</v>
      </c>
      <c r="F12" s="2">
        <v>2.0833333333333332E-2</v>
      </c>
      <c r="G12" t="s">
        <v>25</v>
      </c>
      <c r="H12" t="s">
        <v>55</v>
      </c>
      <c r="I12" t="s">
        <v>56</v>
      </c>
      <c r="J12" s="3" t="s">
        <v>57</v>
      </c>
      <c r="K12" t="str">
        <f t="shared" si="0"/>
        <v>Peak Era (2017-2019)</v>
      </c>
      <c r="L12">
        <f t="shared" si="1"/>
        <v>0</v>
      </c>
    </row>
    <row r="13" spans="1:12" ht="68" x14ac:dyDescent="0.2">
      <c r="A13" t="s">
        <v>58</v>
      </c>
      <c r="B13">
        <v>2021</v>
      </c>
      <c r="C13">
        <v>8.9</v>
      </c>
      <c r="D13" s="1">
        <v>171730</v>
      </c>
      <c r="E13">
        <v>20</v>
      </c>
      <c r="F13" s="2">
        <v>5.9027777777777776E-2</v>
      </c>
      <c r="G13" t="s">
        <v>20</v>
      </c>
      <c r="H13" t="s">
        <v>59</v>
      </c>
      <c r="I13" t="s">
        <v>60</v>
      </c>
      <c r="J13" s="3" t="s">
        <v>61</v>
      </c>
      <c r="K13" t="str">
        <f t="shared" si="0"/>
        <v>Streaming Era (2020-2022)</v>
      </c>
      <c r="L13">
        <f t="shared" si="1"/>
        <v>1</v>
      </c>
    </row>
    <row r="14" spans="1:12" ht="119" x14ac:dyDescent="0.2">
      <c r="A14" t="s">
        <v>62</v>
      </c>
      <c r="B14">
        <v>2009</v>
      </c>
      <c r="C14">
        <v>7.5</v>
      </c>
      <c r="D14" s="1">
        <v>169953</v>
      </c>
      <c r="E14">
        <v>25</v>
      </c>
      <c r="F14" s="2">
        <v>4.5138888888888888E-2</v>
      </c>
      <c r="G14" t="s">
        <v>50</v>
      </c>
      <c r="H14" t="s">
        <v>63</v>
      </c>
      <c r="I14" t="s">
        <v>64</v>
      </c>
      <c r="J14" s="3" t="s">
        <v>65</v>
      </c>
      <c r="K14" t="str">
        <f t="shared" si="0"/>
        <v>Early Era (2007-2012)</v>
      </c>
      <c r="L14">
        <f t="shared" si="1"/>
        <v>0</v>
      </c>
    </row>
    <row r="15" spans="1:12" ht="85" x14ac:dyDescent="0.2">
      <c r="A15" t="s">
        <v>66</v>
      </c>
      <c r="B15">
        <v>2013</v>
      </c>
      <c r="C15">
        <v>7.6</v>
      </c>
      <c r="D15" s="1">
        <v>169096</v>
      </c>
      <c r="E15">
        <v>20</v>
      </c>
      <c r="F15" s="2">
        <v>4.1666666666666664E-2</v>
      </c>
      <c r="G15" t="s">
        <v>25</v>
      </c>
      <c r="H15" t="s">
        <v>67</v>
      </c>
      <c r="I15" t="s">
        <v>68</v>
      </c>
      <c r="J15" s="3" t="s">
        <v>69</v>
      </c>
      <c r="K15" t="str">
        <f t="shared" si="0"/>
        <v>Growth Era (2013-2016)</v>
      </c>
      <c r="L15">
        <f t="shared" si="1"/>
        <v>0</v>
      </c>
    </row>
    <row r="16" spans="1:12" ht="85" x14ac:dyDescent="0.2">
      <c r="A16" t="s">
        <v>70</v>
      </c>
      <c r="B16">
        <v>2013</v>
      </c>
      <c r="C16">
        <v>8.5</v>
      </c>
      <c r="D16" s="1">
        <v>164412</v>
      </c>
      <c r="E16">
        <v>21</v>
      </c>
      <c r="F16" s="2">
        <v>4.027777777777778E-2</v>
      </c>
      <c r="G16" t="s">
        <v>25</v>
      </c>
      <c r="H16" t="s">
        <v>71</v>
      </c>
      <c r="I16" t="s">
        <v>72</v>
      </c>
      <c r="J16" s="3" t="s">
        <v>73</v>
      </c>
      <c r="K16" t="str">
        <f t="shared" si="0"/>
        <v>Growth Era (2013-2016)</v>
      </c>
      <c r="L16">
        <f t="shared" si="1"/>
        <v>0</v>
      </c>
    </row>
    <row r="17" spans="1:12" ht="85" x14ac:dyDescent="0.2">
      <c r="A17" t="s">
        <v>74</v>
      </c>
      <c r="B17">
        <v>2020</v>
      </c>
      <c r="C17">
        <v>8.3000000000000007</v>
      </c>
      <c r="D17" s="1">
        <v>162611</v>
      </c>
      <c r="E17">
        <v>16</v>
      </c>
      <c r="F17" s="2">
        <v>5.2083333333333336E-2</v>
      </c>
      <c r="G17" t="s">
        <v>25</v>
      </c>
      <c r="H17" t="s">
        <v>63</v>
      </c>
      <c r="I17" t="s">
        <v>75</v>
      </c>
      <c r="J17" s="3" t="s">
        <v>76</v>
      </c>
      <c r="K17" t="str">
        <f t="shared" si="0"/>
        <v>Streaming Era (2020-2022)</v>
      </c>
      <c r="L17">
        <f t="shared" si="1"/>
        <v>0</v>
      </c>
    </row>
    <row r="18" spans="1:12" ht="85" x14ac:dyDescent="0.2">
      <c r="A18" t="s">
        <v>77</v>
      </c>
      <c r="B18">
        <v>2014</v>
      </c>
      <c r="C18">
        <v>8.8000000000000007</v>
      </c>
      <c r="D18" s="1">
        <v>157401</v>
      </c>
      <c r="E18">
        <v>20</v>
      </c>
      <c r="F18" s="2">
        <v>4.1666666666666664E-2</v>
      </c>
      <c r="G18" t="s">
        <v>50</v>
      </c>
      <c r="H18" t="s">
        <v>78</v>
      </c>
      <c r="I18" t="s">
        <v>79</v>
      </c>
      <c r="J18" s="3" t="s">
        <v>80</v>
      </c>
      <c r="K18" t="str">
        <f t="shared" si="0"/>
        <v>Growth Era (2013-2016)</v>
      </c>
      <c r="L18">
        <f t="shared" si="1"/>
        <v>1</v>
      </c>
    </row>
    <row r="19" spans="1:12" ht="102" x14ac:dyDescent="0.2">
      <c r="A19" t="s">
        <v>81</v>
      </c>
      <c r="B19">
        <v>2021</v>
      </c>
      <c r="C19">
        <v>8.4</v>
      </c>
      <c r="D19" s="1">
        <v>157565</v>
      </c>
      <c r="E19">
        <v>9</v>
      </c>
      <c r="F19" s="2">
        <v>4.1666666666666664E-2</v>
      </c>
      <c r="G19" t="s">
        <v>82</v>
      </c>
      <c r="H19" t="s">
        <v>83</v>
      </c>
      <c r="I19" t="s">
        <v>84</v>
      </c>
      <c r="J19" s="3" t="s">
        <v>85</v>
      </c>
      <c r="K19" t="str">
        <f t="shared" si="0"/>
        <v>Streaming Era (2020-2022)</v>
      </c>
      <c r="L19">
        <f t="shared" si="1"/>
        <v>0</v>
      </c>
    </row>
    <row r="20" spans="1:12" ht="51" x14ac:dyDescent="0.2">
      <c r="A20" t="s">
        <v>86</v>
      </c>
      <c r="B20">
        <v>2016</v>
      </c>
      <c r="C20">
        <v>8.6999999999999993</v>
      </c>
      <c r="D20" s="1">
        <v>156474</v>
      </c>
      <c r="E20">
        <v>20</v>
      </c>
      <c r="F20" s="2">
        <v>4.1666666666666664E-2</v>
      </c>
      <c r="G20" t="s">
        <v>50</v>
      </c>
      <c r="H20" t="s">
        <v>87</v>
      </c>
      <c r="I20" t="s">
        <v>88</v>
      </c>
      <c r="J20" s="3" t="s">
        <v>89</v>
      </c>
      <c r="K20" t="str">
        <f t="shared" si="0"/>
        <v>Growth Era (2013-2016)</v>
      </c>
      <c r="L20">
        <f t="shared" si="1"/>
        <v>0</v>
      </c>
    </row>
    <row r="21" spans="1:12" ht="102" x14ac:dyDescent="0.2">
      <c r="A21" t="s">
        <v>90</v>
      </c>
      <c r="B21">
        <v>2020</v>
      </c>
      <c r="C21">
        <v>9.1</v>
      </c>
      <c r="D21" s="1">
        <v>153200</v>
      </c>
      <c r="E21">
        <v>16</v>
      </c>
      <c r="F21" s="2">
        <v>4.8611111111111112E-2</v>
      </c>
      <c r="G21" t="s">
        <v>25</v>
      </c>
      <c r="H21" t="s">
        <v>91</v>
      </c>
      <c r="I21" t="s">
        <v>92</v>
      </c>
      <c r="J21" s="3" t="s">
        <v>93</v>
      </c>
      <c r="K21" t="str">
        <f t="shared" si="0"/>
        <v>Streaming Era (2020-2022)</v>
      </c>
      <c r="L21">
        <f t="shared" si="1"/>
        <v>1</v>
      </c>
    </row>
    <row r="22" spans="1:12" ht="136" x14ac:dyDescent="0.2">
      <c r="A22" t="s">
        <v>94</v>
      </c>
      <c r="B22">
        <v>2014</v>
      </c>
      <c r="C22">
        <v>8.3000000000000007</v>
      </c>
      <c r="D22" s="1">
        <v>151350</v>
      </c>
      <c r="E22">
        <v>20</v>
      </c>
      <c r="F22" s="2">
        <v>4.027777777777778E-2</v>
      </c>
      <c r="G22" t="s">
        <v>25</v>
      </c>
      <c r="H22" t="s">
        <v>95</v>
      </c>
      <c r="I22" t="s">
        <v>96</v>
      </c>
      <c r="J22" s="3" t="s">
        <v>97</v>
      </c>
      <c r="K22" t="str">
        <f t="shared" si="0"/>
        <v>Growth Era (2013-2016)</v>
      </c>
      <c r="L22">
        <f t="shared" si="1"/>
        <v>0</v>
      </c>
    </row>
    <row r="23" spans="1:12" ht="85" x14ac:dyDescent="0.2">
      <c r="A23" t="s">
        <v>98</v>
      </c>
      <c r="B23">
        <v>2020</v>
      </c>
      <c r="C23">
        <v>8.4</v>
      </c>
      <c r="D23" s="1">
        <v>150987</v>
      </c>
      <c r="E23">
        <v>16</v>
      </c>
      <c r="F23" s="2">
        <v>4.8611111111111112E-2</v>
      </c>
      <c r="G23" t="s">
        <v>11</v>
      </c>
      <c r="H23" t="s">
        <v>99</v>
      </c>
      <c r="I23" t="s">
        <v>100</v>
      </c>
      <c r="J23" s="3" t="s">
        <v>101</v>
      </c>
      <c r="K23" t="str">
        <f t="shared" si="0"/>
        <v>Streaming Era (2020-2022)</v>
      </c>
      <c r="L23">
        <f t="shared" si="1"/>
        <v>0</v>
      </c>
    </row>
    <row r="24" spans="1:12" ht="51" x14ac:dyDescent="0.2">
      <c r="A24" t="s">
        <v>102</v>
      </c>
      <c r="B24">
        <v>2016</v>
      </c>
      <c r="C24">
        <v>8.3000000000000007</v>
      </c>
      <c r="D24" s="1">
        <v>148563</v>
      </c>
      <c r="E24">
        <v>20</v>
      </c>
      <c r="F24" s="2">
        <v>4.1666666666666664E-2</v>
      </c>
      <c r="G24" t="s">
        <v>25</v>
      </c>
      <c r="H24" t="s">
        <v>103</v>
      </c>
      <c r="I24" t="s">
        <v>104</v>
      </c>
      <c r="J24" s="3" t="s">
        <v>105</v>
      </c>
      <c r="K24" t="str">
        <f t="shared" si="0"/>
        <v>Growth Era (2013-2016)</v>
      </c>
      <c r="L24">
        <f t="shared" si="1"/>
        <v>0</v>
      </c>
    </row>
    <row r="25" spans="1:12" ht="85" x14ac:dyDescent="0.2">
      <c r="A25" t="s">
        <v>106</v>
      </c>
      <c r="B25">
        <v>2017</v>
      </c>
      <c r="C25">
        <v>8.3000000000000007</v>
      </c>
      <c r="D25" s="1">
        <v>146959</v>
      </c>
      <c r="E25">
        <v>32</v>
      </c>
      <c r="F25" s="2">
        <v>2.4305555555555556E-2</v>
      </c>
      <c r="G25" t="s">
        <v>25</v>
      </c>
      <c r="H25" t="s">
        <v>107</v>
      </c>
      <c r="I25" t="s">
        <v>108</v>
      </c>
      <c r="J25" s="3" t="s">
        <v>109</v>
      </c>
      <c r="K25" t="str">
        <f t="shared" si="0"/>
        <v>Peak Era (2017-2019)</v>
      </c>
      <c r="L25">
        <f t="shared" si="1"/>
        <v>0</v>
      </c>
    </row>
    <row r="26" spans="1:12" ht="102" x14ac:dyDescent="0.2">
      <c r="A26" t="s">
        <v>110</v>
      </c>
      <c r="B26">
        <v>2017</v>
      </c>
      <c r="C26">
        <v>8.5</v>
      </c>
      <c r="D26" s="1">
        <v>146512</v>
      </c>
      <c r="E26">
        <v>16</v>
      </c>
      <c r="F26" s="2">
        <v>4.1666666666666664E-2</v>
      </c>
      <c r="G26" t="s">
        <v>50</v>
      </c>
      <c r="H26" t="s">
        <v>111</v>
      </c>
      <c r="I26" t="s">
        <v>112</v>
      </c>
      <c r="J26" s="3" t="s">
        <v>113</v>
      </c>
      <c r="K26" t="str">
        <f t="shared" si="0"/>
        <v>Peak Era (2017-2019)</v>
      </c>
      <c r="L26">
        <f t="shared" si="1"/>
        <v>0</v>
      </c>
    </row>
    <row r="27" spans="1:12" ht="102" x14ac:dyDescent="0.2">
      <c r="A27" t="s">
        <v>114</v>
      </c>
      <c r="B27">
        <v>2018</v>
      </c>
      <c r="C27">
        <v>7.8</v>
      </c>
      <c r="D27" s="1">
        <v>143909</v>
      </c>
      <c r="E27">
        <v>16</v>
      </c>
      <c r="F27" s="2">
        <v>4.1666666666666664E-2</v>
      </c>
      <c r="G27" t="s">
        <v>11</v>
      </c>
      <c r="H27" t="s">
        <v>115</v>
      </c>
      <c r="I27" t="s">
        <v>116</v>
      </c>
      <c r="J27" s="3" t="s">
        <v>117</v>
      </c>
      <c r="K27" t="str">
        <f t="shared" si="0"/>
        <v>Peak Era (2017-2019)</v>
      </c>
      <c r="L27">
        <f t="shared" si="1"/>
        <v>0</v>
      </c>
    </row>
    <row r="28" spans="1:12" ht="51" x14ac:dyDescent="0.2">
      <c r="A28" t="s">
        <v>118</v>
      </c>
      <c r="B28">
        <v>2019</v>
      </c>
      <c r="C28">
        <v>8.3000000000000007</v>
      </c>
      <c r="D28" s="1">
        <v>138021</v>
      </c>
      <c r="E28">
        <v>16</v>
      </c>
      <c r="F28" s="2">
        <v>5.2083333333333336E-2</v>
      </c>
      <c r="G28" t="s">
        <v>25</v>
      </c>
      <c r="H28" t="s">
        <v>119</v>
      </c>
      <c r="I28" t="s">
        <v>120</v>
      </c>
      <c r="J28" s="3" t="s">
        <v>121</v>
      </c>
      <c r="K28" t="str">
        <f t="shared" si="0"/>
        <v>Peak Era (2017-2019)</v>
      </c>
      <c r="L28">
        <f t="shared" si="1"/>
        <v>0</v>
      </c>
    </row>
    <row r="29" spans="1:12" ht="119" x14ac:dyDescent="0.2">
      <c r="A29" t="s">
        <v>122</v>
      </c>
      <c r="B29">
        <v>2017</v>
      </c>
      <c r="C29">
        <v>8.3000000000000007</v>
      </c>
      <c r="D29" s="1">
        <v>137092</v>
      </c>
      <c r="E29">
        <v>40</v>
      </c>
      <c r="F29" s="2">
        <v>2.0833333333333332E-2</v>
      </c>
      <c r="G29" t="s">
        <v>25</v>
      </c>
      <c r="H29" t="s">
        <v>123</v>
      </c>
      <c r="I29" t="s">
        <v>124</v>
      </c>
      <c r="J29" s="3" t="s">
        <v>125</v>
      </c>
      <c r="K29" t="str">
        <f t="shared" si="0"/>
        <v>Peak Era (2017-2019)</v>
      </c>
      <c r="L29">
        <f t="shared" si="1"/>
        <v>0</v>
      </c>
    </row>
    <row r="30" spans="1:12" ht="170" x14ac:dyDescent="0.2">
      <c r="A30" t="s">
        <v>126</v>
      </c>
      <c r="B30">
        <v>2019</v>
      </c>
      <c r="C30">
        <v>8.3000000000000007</v>
      </c>
      <c r="D30" s="1">
        <v>136969</v>
      </c>
      <c r="E30">
        <v>32</v>
      </c>
      <c r="F30" s="2">
        <v>2.4305555555555556E-2</v>
      </c>
      <c r="G30" t="s">
        <v>25</v>
      </c>
      <c r="H30" t="s">
        <v>127</v>
      </c>
      <c r="I30" t="s">
        <v>128</v>
      </c>
      <c r="J30" s="3" t="s">
        <v>129</v>
      </c>
      <c r="K30" t="str">
        <f t="shared" si="0"/>
        <v>Peak Era (2017-2019)</v>
      </c>
      <c r="L30">
        <f t="shared" si="1"/>
        <v>0</v>
      </c>
    </row>
    <row r="31" spans="1:12" ht="85" x14ac:dyDescent="0.2">
      <c r="A31" t="s">
        <v>130</v>
      </c>
      <c r="B31">
        <v>2021</v>
      </c>
      <c r="C31">
        <v>8.6999999999999993</v>
      </c>
      <c r="D31" s="1">
        <v>132071</v>
      </c>
      <c r="E31">
        <v>16</v>
      </c>
      <c r="F31" s="2">
        <v>5.5555555555555552E-2</v>
      </c>
      <c r="G31" t="s">
        <v>20</v>
      </c>
      <c r="H31" t="s">
        <v>131</v>
      </c>
      <c r="I31" t="s">
        <v>132</v>
      </c>
      <c r="J31" s="3" t="s">
        <v>133</v>
      </c>
      <c r="K31" t="str">
        <f t="shared" si="0"/>
        <v>Streaming Era (2020-2022)</v>
      </c>
      <c r="L31">
        <f t="shared" si="1"/>
        <v>0</v>
      </c>
    </row>
    <row r="32" spans="1:12" ht="85" x14ac:dyDescent="0.2">
      <c r="A32" t="s">
        <v>134</v>
      </c>
      <c r="B32">
        <v>2022</v>
      </c>
      <c r="C32">
        <v>8.9</v>
      </c>
      <c r="D32" s="1">
        <v>131188</v>
      </c>
      <c r="E32">
        <v>16</v>
      </c>
      <c r="F32" s="2">
        <v>4.8611111111111112E-2</v>
      </c>
      <c r="G32" t="s">
        <v>25</v>
      </c>
      <c r="H32" t="s">
        <v>135</v>
      </c>
      <c r="I32" t="s">
        <v>136</v>
      </c>
      <c r="J32" s="3" t="s">
        <v>137</v>
      </c>
      <c r="K32" t="str">
        <f t="shared" si="0"/>
        <v>Streaming Era (2020-2022)</v>
      </c>
      <c r="L32">
        <f t="shared" si="1"/>
        <v>1</v>
      </c>
    </row>
    <row r="33" spans="1:12" ht="51" x14ac:dyDescent="0.2">
      <c r="A33" t="s">
        <v>138</v>
      </c>
      <c r="B33">
        <v>2022</v>
      </c>
      <c r="C33">
        <v>9.1</v>
      </c>
      <c r="D33" s="1">
        <v>129020</v>
      </c>
      <c r="E33">
        <v>20</v>
      </c>
      <c r="F33" s="2">
        <v>5.5555555555555552E-2</v>
      </c>
      <c r="G33" t="s">
        <v>20</v>
      </c>
      <c r="H33" t="s">
        <v>139</v>
      </c>
      <c r="I33" t="s">
        <v>140</v>
      </c>
      <c r="J33" s="3" t="s">
        <v>141</v>
      </c>
      <c r="K33" t="str">
        <f t="shared" si="0"/>
        <v>Streaming Era (2020-2022)</v>
      </c>
      <c r="L33">
        <f t="shared" si="1"/>
        <v>1</v>
      </c>
    </row>
    <row r="34" spans="1:12" ht="119" x14ac:dyDescent="0.2">
      <c r="A34" t="s">
        <v>142</v>
      </c>
      <c r="B34">
        <v>2017</v>
      </c>
      <c r="C34">
        <v>8.4</v>
      </c>
      <c r="D34" s="1">
        <v>124319</v>
      </c>
      <c r="E34">
        <v>16</v>
      </c>
      <c r="F34" s="2">
        <v>4.8611111111111112E-2</v>
      </c>
      <c r="G34" t="s">
        <v>50</v>
      </c>
      <c r="H34" t="s">
        <v>131</v>
      </c>
      <c r="I34" t="s">
        <v>143</v>
      </c>
      <c r="J34" s="3" t="s">
        <v>144</v>
      </c>
      <c r="K34" t="str">
        <f t="shared" si="0"/>
        <v>Peak Era (2017-2019)</v>
      </c>
      <c r="L34">
        <f t="shared" si="1"/>
        <v>0</v>
      </c>
    </row>
    <row r="35" spans="1:12" ht="85" x14ac:dyDescent="0.2">
      <c r="A35" t="s">
        <v>145</v>
      </c>
      <c r="B35">
        <v>2019</v>
      </c>
      <c r="C35">
        <v>7.1</v>
      </c>
      <c r="D35" s="1">
        <v>123882</v>
      </c>
      <c r="E35">
        <v>8</v>
      </c>
      <c r="F35" s="2">
        <v>3.4722222222222224E-2</v>
      </c>
      <c r="G35" t="s">
        <v>146</v>
      </c>
      <c r="H35" t="s">
        <v>63</v>
      </c>
      <c r="I35" t="s">
        <v>147</v>
      </c>
      <c r="J35" s="3" t="s">
        <v>148</v>
      </c>
      <c r="K35" t="str">
        <f t="shared" si="0"/>
        <v>Peak Era (2017-2019)</v>
      </c>
      <c r="L35">
        <f t="shared" si="1"/>
        <v>0</v>
      </c>
    </row>
    <row r="36" spans="1:12" ht="102" x14ac:dyDescent="0.2">
      <c r="A36" t="s">
        <v>149</v>
      </c>
      <c r="B36">
        <v>2015</v>
      </c>
      <c r="C36">
        <v>9.1</v>
      </c>
      <c r="D36" s="1">
        <v>123446</v>
      </c>
      <c r="E36">
        <v>20</v>
      </c>
      <c r="F36" s="2">
        <v>6.5972222222222224E-2</v>
      </c>
      <c r="G36" t="s">
        <v>11</v>
      </c>
      <c r="H36" t="s">
        <v>150</v>
      </c>
      <c r="I36" t="s">
        <v>151</v>
      </c>
      <c r="J36" s="3" t="s">
        <v>152</v>
      </c>
      <c r="K36" t="str">
        <f t="shared" si="0"/>
        <v>Growth Era (2013-2016)</v>
      </c>
      <c r="L36">
        <f t="shared" si="1"/>
        <v>1</v>
      </c>
    </row>
    <row r="37" spans="1:12" ht="102" x14ac:dyDescent="0.2">
      <c r="A37" t="s">
        <v>153</v>
      </c>
      <c r="B37">
        <v>2016</v>
      </c>
      <c r="C37">
        <v>8.1999999999999993</v>
      </c>
      <c r="D37" s="1">
        <v>120652</v>
      </c>
      <c r="E37">
        <v>16</v>
      </c>
      <c r="F37" s="2">
        <v>4.1666666666666664E-2</v>
      </c>
      <c r="G37" t="s">
        <v>11</v>
      </c>
      <c r="H37" t="s">
        <v>154</v>
      </c>
      <c r="I37" t="s">
        <v>155</v>
      </c>
      <c r="J37" s="3" t="s">
        <v>156</v>
      </c>
      <c r="K37" t="str">
        <f t="shared" si="0"/>
        <v>Growth Era (2013-2016)</v>
      </c>
      <c r="L37">
        <f t="shared" si="1"/>
        <v>0</v>
      </c>
    </row>
    <row r="38" spans="1:12" ht="136" x14ac:dyDescent="0.2">
      <c r="A38" t="s">
        <v>157</v>
      </c>
      <c r="B38">
        <v>2020</v>
      </c>
      <c r="C38">
        <v>9.1</v>
      </c>
      <c r="D38" s="1">
        <v>119851</v>
      </c>
      <c r="E38">
        <v>12</v>
      </c>
      <c r="F38" s="2">
        <v>6.25E-2</v>
      </c>
      <c r="G38" t="s">
        <v>146</v>
      </c>
      <c r="H38" t="s">
        <v>158</v>
      </c>
      <c r="I38" t="s">
        <v>159</v>
      </c>
      <c r="J38" s="3" t="s">
        <v>160</v>
      </c>
      <c r="K38" t="str">
        <f t="shared" si="0"/>
        <v>Streaming Era (2020-2022)</v>
      </c>
      <c r="L38">
        <f t="shared" si="1"/>
        <v>1</v>
      </c>
    </row>
    <row r="39" spans="1:12" ht="255" x14ac:dyDescent="0.2">
      <c r="A39" t="s">
        <v>161</v>
      </c>
      <c r="B39">
        <v>2020</v>
      </c>
      <c r="C39">
        <v>8.6999999999999993</v>
      </c>
      <c r="D39" s="1">
        <v>119232</v>
      </c>
      <c r="E39">
        <v>10</v>
      </c>
      <c r="F39" s="2">
        <v>3.6111111111111108E-2</v>
      </c>
      <c r="G39" t="s">
        <v>82</v>
      </c>
      <c r="H39" t="s">
        <v>162</v>
      </c>
      <c r="I39" t="s">
        <v>163</v>
      </c>
      <c r="J39" s="3" t="s">
        <v>164</v>
      </c>
      <c r="K39" t="str">
        <f t="shared" si="0"/>
        <v>Streaming Era (2020-2022)</v>
      </c>
      <c r="L39">
        <f t="shared" si="1"/>
        <v>0</v>
      </c>
    </row>
    <row r="40" spans="1:12" ht="102" x14ac:dyDescent="0.2">
      <c r="A40" t="s">
        <v>165</v>
      </c>
      <c r="B40">
        <v>2019</v>
      </c>
      <c r="C40">
        <v>8.1</v>
      </c>
      <c r="D40" s="1">
        <v>119071</v>
      </c>
      <c r="E40">
        <v>16</v>
      </c>
      <c r="F40" s="2">
        <v>4.3055555555555555E-2</v>
      </c>
      <c r="G40" t="s">
        <v>20</v>
      </c>
      <c r="H40" t="s">
        <v>166</v>
      </c>
      <c r="I40" t="s">
        <v>167</v>
      </c>
      <c r="J40" s="3" t="s">
        <v>168</v>
      </c>
      <c r="K40" t="str">
        <f t="shared" si="0"/>
        <v>Peak Era (2017-2019)</v>
      </c>
      <c r="L40">
        <f t="shared" si="1"/>
        <v>0</v>
      </c>
    </row>
    <row r="41" spans="1:12" ht="136" x14ac:dyDescent="0.2">
      <c r="A41" t="s">
        <v>169</v>
      </c>
      <c r="B41">
        <v>2015</v>
      </c>
      <c r="C41">
        <v>8.6999999999999993</v>
      </c>
      <c r="D41" s="1">
        <v>118665</v>
      </c>
      <c r="E41">
        <v>20</v>
      </c>
      <c r="F41" s="2">
        <v>4.3055555555555555E-2</v>
      </c>
      <c r="G41" t="s">
        <v>25</v>
      </c>
      <c r="H41" t="s">
        <v>21</v>
      </c>
      <c r="I41" t="s">
        <v>170</v>
      </c>
      <c r="J41" s="3" t="s">
        <v>171</v>
      </c>
      <c r="K41" t="str">
        <f t="shared" si="0"/>
        <v>Growth Era (2013-2016)</v>
      </c>
      <c r="L41">
        <f t="shared" si="1"/>
        <v>0</v>
      </c>
    </row>
    <row r="42" spans="1:12" ht="153" x14ac:dyDescent="0.2">
      <c r="A42" t="s">
        <v>172</v>
      </c>
      <c r="B42">
        <v>2016</v>
      </c>
      <c r="C42">
        <v>7.8</v>
      </c>
      <c r="D42" s="1">
        <v>118752</v>
      </c>
      <c r="E42">
        <v>16</v>
      </c>
      <c r="F42" s="2">
        <v>4.1666666666666664E-2</v>
      </c>
      <c r="G42" t="s">
        <v>11</v>
      </c>
      <c r="H42" t="s">
        <v>51</v>
      </c>
      <c r="I42" t="s">
        <v>173</v>
      </c>
      <c r="J42" s="3" t="s">
        <v>174</v>
      </c>
      <c r="K42" t="str">
        <f t="shared" si="0"/>
        <v>Growth Era (2013-2016)</v>
      </c>
      <c r="L42">
        <f t="shared" si="1"/>
        <v>0</v>
      </c>
    </row>
    <row r="43" spans="1:12" ht="119" x14ac:dyDescent="0.2">
      <c r="A43" t="s">
        <v>175</v>
      </c>
      <c r="B43">
        <v>2015</v>
      </c>
      <c r="C43">
        <v>8</v>
      </c>
      <c r="D43" s="1">
        <v>117331</v>
      </c>
      <c r="E43">
        <v>16</v>
      </c>
      <c r="F43" s="2">
        <v>4.1666666666666664E-2</v>
      </c>
      <c r="G43" t="s">
        <v>25</v>
      </c>
      <c r="H43" t="s">
        <v>51</v>
      </c>
      <c r="I43" t="s">
        <v>176</v>
      </c>
      <c r="J43" s="3" t="s">
        <v>177</v>
      </c>
      <c r="K43" t="str">
        <f t="shared" si="0"/>
        <v>Growth Era (2013-2016)</v>
      </c>
      <c r="L43">
        <f t="shared" si="1"/>
        <v>0</v>
      </c>
    </row>
    <row r="44" spans="1:12" ht="119" x14ac:dyDescent="0.2">
      <c r="A44" t="s">
        <v>178</v>
      </c>
      <c r="B44">
        <v>2021</v>
      </c>
      <c r="C44">
        <v>8.4</v>
      </c>
      <c r="D44" s="1">
        <v>115340</v>
      </c>
      <c r="E44">
        <v>16</v>
      </c>
      <c r="F44" s="2">
        <v>4.5138888888888888E-2</v>
      </c>
      <c r="G44" t="s">
        <v>50</v>
      </c>
      <c r="H44" t="s">
        <v>103</v>
      </c>
      <c r="I44" t="s">
        <v>179</v>
      </c>
      <c r="J44" s="3" t="s">
        <v>180</v>
      </c>
      <c r="K44" t="str">
        <f t="shared" si="0"/>
        <v>Streaming Era (2020-2022)</v>
      </c>
      <c r="L44">
        <f t="shared" si="1"/>
        <v>0</v>
      </c>
    </row>
    <row r="45" spans="1:12" ht="51" x14ac:dyDescent="0.2">
      <c r="A45" t="s">
        <v>181</v>
      </c>
      <c r="B45">
        <v>2020</v>
      </c>
      <c r="C45">
        <v>8.3000000000000007</v>
      </c>
      <c r="D45" s="1">
        <v>115256</v>
      </c>
      <c r="E45">
        <v>16</v>
      </c>
      <c r="F45" s="2">
        <v>4.8611111111111112E-2</v>
      </c>
      <c r="G45" t="s">
        <v>25</v>
      </c>
      <c r="H45" t="s">
        <v>182</v>
      </c>
      <c r="I45" t="s">
        <v>183</v>
      </c>
      <c r="J45" s="3" t="s">
        <v>184</v>
      </c>
      <c r="K45" t="str">
        <f t="shared" si="0"/>
        <v>Streaming Era (2020-2022)</v>
      </c>
      <c r="L45">
        <f t="shared" si="1"/>
        <v>0</v>
      </c>
    </row>
    <row r="46" spans="1:12" ht="153" x14ac:dyDescent="0.2">
      <c r="A46" t="s">
        <v>185</v>
      </c>
      <c r="B46">
        <v>2022</v>
      </c>
      <c r="C46">
        <v>8.9</v>
      </c>
      <c r="D46" s="1">
        <v>115593</v>
      </c>
      <c r="E46">
        <v>8</v>
      </c>
      <c r="F46" s="2">
        <v>3.4722222222222224E-2</v>
      </c>
      <c r="G46" t="s">
        <v>82</v>
      </c>
      <c r="H46" t="s">
        <v>186</v>
      </c>
      <c r="I46" t="s">
        <v>187</v>
      </c>
      <c r="J46" s="3" t="s">
        <v>188</v>
      </c>
      <c r="K46" t="str">
        <f t="shared" si="0"/>
        <v>Streaming Era (2020-2022)</v>
      </c>
      <c r="L46">
        <f t="shared" si="1"/>
        <v>1</v>
      </c>
    </row>
    <row r="47" spans="1:12" ht="153" x14ac:dyDescent="0.2">
      <c r="A47" t="s">
        <v>189</v>
      </c>
      <c r="B47">
        <v>2020</v>
      </c>
      <c r="C47">
        <v>8.1</v>
      </c>
      <c r="D47" s="1">
        <v>113545</v>
      </c>
      <c r="E47">
        <v>16</v>
      </c>
      <c r="F47" s="2">
        <v>4.8611111111111112E-2</v>
      </c>
      <c r="G47" t="s">
        <v>11</v>
      </c>
      <c r="H47" t="s">
        <v>190</v>
      </c>
      <c r="I47" t="s">
        <v>191</v>
      </c>
      <c r="J47" s="3" t="s">
        <v>192</v>
      </c>
      <c r="K47" t="str">
        <f t="shared" si="0"/>
        <v>Streaming Era (2020-2022)</v>
      </c>
      <c r="L47">
        <f t="shared" si="1"/>
        <v>0</v>
      </c>
    </row>
    <row r="48" spans="1:12" ht="102" x14ac:dyDescent="0.2">
      <c r="A48" t="s">
        <v>193</v>
      </c>
      <c r="B48">
        <v>2022</v>
      </c>
      <c r="C48">
        <v>8.8000000000000007</v>
      </c>
      <c r="D48" s="1">
        <v>112814</v>
      </c>
      <c r="E48">
        <v>16</v>
      </c>
      <c r="F48" s="2">
        <v>5.2083333333333336E-2</v>
      </c>
      <c r="G48" t="s">
        <v>20</v>
      </c>
      <c r="H48" t="s">
        <v>194</v>
      </c>
      <c r="I48" t="s">
        <v>195</v>
      </c>
      <c r="J48" s="3" t="s">
        <v>196</v>
      </c>
      <c r="K48" t="str">
        <f t="shared" si="0"/>
        <v>Streaming Era (2020-2022)</v>
      </c>
      <c r="L48">
        <f t="shared" si="1"/>
        <v>1</v>
      </c>
    </row>
    <row r="49" spans="1:12" ht="85" x14ac:dyDescent="0.2">
      <c r="A49" t="s">
        <v>197</v>
      </c>
      <c r="B49">
        <v>2021</v>
      </c>
      <c r="C49">
        <v>9.1</v>
      </c>
      <c r="D49" s="1">
        <v>112905</v>
      </c>
      <c r="E49">
        <v>10</v>
      </c>
      <c r="F49" s="2">
        <v>3.6111111111111108E-2</v>
      </c>
      <c r="G49" t="s">
        <v>82</v>
      </c>
      <c r="H49" t="s">
        <v>198</v>
      </c>
      <c r="I49" t="s">
        <v>199</v>
      </c>
      <c r="J49" s="3" t="s">
        <v>200</v>
      </c>
      <c r="K49" t="str">
        <f t="shared" si="0"/>
        <v>Streaming Era (2020-2022)</v>
      </c>
      <c r="L49">
        <f t="shared" si="1"/>
        <v>1</v>
      </c>
    </row>
    <row r="50" spans="1:12" ht="119" x14ac:dyDescent="0.2">
      <c r="A50" t="s">
        <v>201</v>
      </c>
      <c r="B50">
        <v>2020</v>
      </c>
      <c r="C50">
        <v>8.1</v>
      </c>
      <c r="D50" s="1">
        <v>111863</v>
      </c>
      <c r="E50">
        <v>16</v>
      </c>
      <c r="F50" s="2">
        <v>5.9027777777777776E-2</v>
      </c>
      <c r="G50" t="s">
        <v>20</v>
      </c>
      <c r="H50" t="s">
        <v>202</v>
      </c>
      <c r="I50" t="s">
        <v>203</v>
      </c>
      <c r="J50" s="3" t="s">
        <v>204</v>
      </c>
      <c r="K50" t="str">
        <f t="shared" si="0"/>
        <v>Streaming Era (2020-2022)</v>
      </c>
      <c r="L50">
        <f t="shared" si="1"/>
        <v>0</v>
      </c>
    </row>
    <row r="51" spans="1:12" ht="102" x14ac:dyDescent="0.2">
      <c r="A51" t="s">
        <v>205</v>
      </c>
      <c r="B51">
        <v>2019</v>
      </c>
      <c r="C51">
        <v>8.1999999999999993</v>
      </c>
      <c r="D51" s="1">
        <v>111341</v>
      </c>
      <c r="E51">
        <v>16</v>
      </c>
      <c r="F51" s="2">
        <v>4.8611111111111112E-2</v>
      </c>
      <c r="G51" t="s">
        <v>25</v>
      </c>
      <c r="H51" t="s">
        <v>206</v>
      </c>
      <c r="I51" t="s">
        <v>207</v>
      </c>
      <c r="J51" s="3" t="s">
        <v>208</v>
      </c>
      <c r="K51" t="str">
        <f t="shared" si="0"/>
        <v>Peak Era (2017-2019)</v>
      </c>
      <c r="L51">
        <f t="shared" si="1"/>
        <v>0</v>
      </c>
    </row>
    <row r="52" spans="1:12" ht="85" x14ac:dyDescent="0.2">
      <c r="A52" t="s">
        <v>209</v>
      </c>
      <c r="B52">
        <v>2021</v>
      </c>
      <c r="C52">
        <v>8.6999999999999993</v>
      </c>
      <c r="D52" s="1">
        <v>109078</v>
      </c>
      <c r="E52">
        <v>8</v>
      </c>
      <c r="F52" s="2">
        <v>3.4722222222222224E-2</v>
      </c>
      <c r="G52" t="s">
        <v>82</v>
      </c>
      <c r="H52" t="s">
        <v>210</v>
      </c>
      <c r="I52" t="s">
        <v>211</v>
      </c>
      <c r="J52" s="3" t="s">
        <v>212</v>
      </c>
      <c r="K52" t="str">
        <f t="shared" si="0"/>
        <v>Streaming Era (2020-2022)</v>
      </c>
      <c r="L52">
        <f t="shared" si="1"/>
        <v>0</v>
      </c>
    </row>
    <row r="53" spans="1:12" ht="68" x14ac:dyDescent="0.2">
      <c r="A53" t="s">
        <v>213</v>
      </c>
      <c r="B53">
        <v>2016</v>
      </c>
      <c r="C53">
        <v>8</v>
      </c>
      <c r="D53" s="1">
        <v>108253</v>
      </c>
      <c r="E53">
        <v>20</v>
      </c>
      <c r="F53" s="2">
        <v>4.1666666666666664E-2</v>
      </c>
      <c r="G53" t="s">
        <v>50</v>
      </c>
      <c r="H53" t="s">
        <v>214</v>
      </c>
      <c r="I53" t="s">
        <v>215</v>
      </c>
      <c r="J53" s="3" t="s">
        <v>216</v>
      </c>
      <c r="K53" t="str">
        <f t="shared" si="0"/>
        <v>Growth Era (2013-2016)</v>
      </c>
      <c r="L53">
        <f t="shared" si="1"/>
        <v>0</v>
      </c>
    </row>
    <row r="54" spans="1:12" ht="136" x14ac:dyDescent="0.2">
      <c r="A54" t="s">
        <v>217</v>
      </c>
      <c r="B54">
        <v>2020</v>
      </c>
      <c r="C54">
        <v>8.8000000000000007</v>
      </c>
      <c r="D54" s="1">
        <v>107940</v>
      </c>
      <c r="E54">
        <v>16</v>
      </c>
      <c r="F54" s="2">
        <v>4.8611111111111112E-2</v>
      </c>
      <c r="G54" t="s">
        <v>20</v>
      </c>
      <c r="H54" t="s">
        <v>218</v>
      </c>
      <c r="I54" t="s">
        <v>219</v>
      </c>
      <c r="J54" s="3" t="s">
        <v>220</v>
      </c>
      <c r="K54" t="str">
        <f t="shared" si="0"/>
        <v>Streaming Era (2020-2022)</v>
      </c>
      <c r="L54">
        <f t="shared" si="1"/>
        <v>1</v>
      </c>
    </row>
    <row r="55" spans="1:12" ht="102" x14ac:dyDescent="0.2">
      <c r="A55" t="s">
        <v>221</v>
      </c>
      <c r="B55">
        <v>2016</v>
      </c>
      <c r="C55">
        <v>7.4</v>
      </c>
      <c r="D55" s="1">
        <v>107382</v>
      </c>
      <c r="E55">
        <v>16</v>
      </c>
      <c r="F55" s="2">
        <v>4.5138888888888888E-2</v>
      </c>
      <c r="G55" t="s">
        <v>50</v>
      </c>
      <c r="H55" t="s">
        <v>222</v>
      </c>
      <c r="I55" t="s">
        <v>223</v>
      </c>
      <c r="J55" s="3" t="s">
        <v>224</v>
      </c>
      <c r="K55" t="str">
        <f t="shared" si="0"/>
        <v>Growth Era (2013-2016)</v>
      </c>
      <c r="L55">
        <f t="shared" si="1"/>
        <v>0</v>
      </c>
    </row>
    <row r="56" spans="1:12" ht="102" x14ac:dyDescent="0.2">
      <c r="A56" t="s">
        <v>225</v>
      </c>
      <c r="B56">
        <v>2015</v>
      </c>
      <c r="C56">
        <v>8.1999999999999993</v>
      </c>
      <c r="D56" s="1">
        <v>106826</v>
      </c>
      <c r="E56">
        <v>16</v>
      </c>
      <c r="F56" s="2">
        <v>4.1666666666666664E-2</v>
      </c>
      <c r="G56" t="s">
        <v>50</v>
      </c>
      <c r="H56" t="s">
        <v>226</v>
      </c>
      <c r="I56" t="s">
        <v>227</v>
      </c>
      <c r="J56" s="3" t="s">
        <v>228</v>
      </c>
      <c r="K56" t="str">
        <f t="shared" si="0"/>
        <v>Growth Era (2013-2016)</v>
      </c>
      <c r="L56">
        <f t="shared" si="1"/>
        <v>0</v>
      </c>
    </row>
    <row r="57" spans="1:12" ht="85" x14ac:dyDescent="0.2">
      <c r="A57" t="s">
        <v>229</v>
      </c>
      <c r="B57">
        <v>2021</v>
      </c>
      <c r="C57">
        <v>8.6</v>
      </c>
      <c r="D57" s="1">
        <v>106851</v>
      </c>
      <c r="E57">
        <v>16</v>
      </c>
      <c r="F57" s="2">
        <v>4.1666666666666664E-2</v>
      </c>
      <c r="G57" t="s">
        <v>50</v>
      </c>
      <c r="H57" t="s">
        <v>230</v>
      </c>
      <c r="I57" t="s">
        <v>231</v>
      </c>
      <c r="J57" s="3" t="s">
        <v>232</v>
      </c>
      <c r="K57" t="str">
        <f t="shared" si="0"/>
        <v>Streaming Era (2020-2022)</v>
      </c>
      <c r="L57">
        <f t="shared" si="1"/>
        <v>0</v>
      </c>
    </row>
    <row r="58" spans="1:12" ht="102" x14ac:dyDescent="0.2">
      <c r="A58" t="s">
        <v>233</v>
      </c>
      <c r="B58">
        <v>2010</v>
      </c>
      <c r="C58">
        <v>8.1999999999999993</v>
      </c>
      <c r="D58" s="1">
        <v>106262</v>
      </c>
      <c r="E58">
        <v>20</v>
      </c>
      <c r="F58" s="2">
        <v>4.5138888888888888E-2</v>
      </c>
      <c r="G58" t="s">
        <v>20</v>
      </c>
      <c r="H58" t="s">
        <v>234</v>
      </c>
      <c r="I58" t="s">
        <v>235</v>
      </c>
      <c r="J58" s="3" t="s">
        <v>236</v>
      </c>
      <c r="K58" t="str">
        <f t="shared" si="0"/>
        <v>Early Era (2007-2012)</v>
      </c>
      <c r="L58">
        <f t="shared" si="1"/>
        <v>0</v>
      </c>
    </row>
    <row r="59" spans="1:12" ht="51" x14ac:dyDescent="0.2">
      <c r="A59" t="s">
        <v>237</v>
      </c>
      <c r="B59">
        <v>2020</v>
      </c>
      <c r="C59">
        <v>9</v>
      </c>
      <c r="D59" s="1">
        <v>104211</v>
      </c>
      <c r="E59">
        <v>20</v>
      </c>
      <c r="F59" s="2">
        <v>5.2083333333333336E-2</v>
      </c>
      <c r="G59" t="s">
        <v>20</v>
      </c>
      <c r="H59" t="s">
        <v>238</v>
      </c>
      <c r="I59" t="s">
        <v>239</v>
      </c>
      <c r="J59" s="3" t="s">
        <v>240</v>
      </c>
      <c r="K59" t="str">
        <f t="shared" si="0"/>
        <v>Streaming Era (2020-2022)</v>
      </c>
      <c r="L59">
        <f t="shared" si="1"/>
        <v>1</v>
      </c>
    </row>
    <row r="60" spans="1:12" ht="119" x14ac:dyDescent="0.2">
      <c r="A60" t="s">
        <v>241</v>
      </c>
      <c r="B60">
        <v>2007</v>
      </c>
      <c r="C60">
        <v>8.3000000000000007</v>
      </c>
      <c r="D60" s="1">
        <v>104033</v>
      </c>
      <c r="E60">
        <v>17</v>
      </c>
      <c r="F60" s="2">
        <v>4.1666666666666664E-2</v>
      </c>
      <c r="G60" t="s">
        <v>50</v>
      </c>
      <c r="H60" t="s">
        <v>242</v>
      </c>
      <c r="I60" t="s">
        <v>243</v>
      </c>
      <c r="J60" s="3" t="s">
        <v>244</v>
      </c>
      <c r="K60" t="str">
        <f t="shared" si="0"/>
        <v>Early Era (2007-2012)</v>
      </c>
      <c r="L60">
        <f t="shared" si="1"/>
        <v>0</v>
      </c>
    </row>
    <row r="61" spans="1:12" ht="51" x14ac:dyDescent="0.2">
      <c r="A61" t="s">
        <v>245</v>
      </c>
      <c r="B61">
        <v>2023</v>
      </c>
      <c r="C61">
        <v>8.1999999999999993</v>
      </c>
      <c r="D61" s="1">
        <v>103492</v>
      </c>
      <c r="E61">
        <v>16</v>
      </c>
      <c r="F61" s="2">
        <v>4.9305555555555554E-2</v>
      </c>
      <c r="G61" t="s">
        <v>20</v>
      </c>
      <c r="H61" t="s">
        <v>246</v>
      </c>
      <c r="I61" t="s">
        <v>247</v>
      </c>
      <c r="J61" s="3" t="s">
        <v>248</v>
      </c>
      <c r="K61" t="str">
        <f t="shared" si="0"/>
        <v>Global Era (2023-2024)</v>
      </c>
      <c r="L61">
        <f t="shared" si="1"/>
        <v>0</v>
      </c>
    </row>
    <row r="62" spans="1:12" ht="102" x14ac:dyDescent="0.2">
      <c r="A62" t="s">
        <v>249</v>
      </c>
      <c r="B62">
        <v>2015</v>
      </c>
      <c r="C62">
        <v>8.3000000000000007</v>
      </c>
      <c r="D62" s="1">
        <v>102877</v>
      </c>
      <c r="E62">
        <v>16</v>
      </c>
      <c r="F62" s="2">
        <v>4.1666666666666664E-2</v>
      </c>
      <c r="G62" t="s">
        <v>11</v>
      </c>
      <c r="H62" t="s">
        <v>250</v>
      </c>
      <c r="I62" t="s">
        <v>251</v>
      </c>
      <c r="J62" s="3" t="s">
        <v>252</v>
      </c>
      <c r="K62" t="str">
        <f t="shared" si="0"/>
        <v>Growth Era (2013-2016)</v>
      </c>
      <c r="L62">
        <f t="shared" si="1"/>
        <v>0</v>
      </c>
    </row>
    <row r="63" spans="1:12" ht="102" x14ac:dyDescent="0.2">
      <c r="A63" t="s">
        <v>253</v>
      </c>
      <c r="B63">
        <v>2022</v>
      </c>
      <c r="C63">
        <v>9.1</v>
      </c>
      <c r="D63" s="1">
        <v>102071</v>
      </c>
      <c r="E63">
        <v>8</v>
      </c>
      <c r="F63" s="2">
        <v>2.7777777777777776E-2</v>
      </c>
      <c r="G63" t="s">
        <v>82</v>
      </c>
      <c r="H63" t="s">
        <v>254</v>
      </c>
      <c r="I63" t="s">
        <v>255</v>
      </c>
      <c r="J63" s="3" t="s">
        <v>256</v>
      </c>
      <c r="K63" t="str">
        <f t="shared" si="0"/>
        <v>Streaming Era (2020-2022)</v>
      </c>
      <c r="L63">
        <f t="shared" si="1"/>
        <v>1</v>
      </c>
    </row>
    <row r="64" spans="1:12" ht="136" x14ac:dyDescent="0.2">
      <c r="A64" t="s">
        <v>257</v>
      </c>
      <c r="B64">
        <v>2021</v>
      </c>
      <c r="C64">
        <v>7.4</v>
      </c>
      <c r="D64" s="1">
        <v>101676</v>
      </c>
      <c r="E64">
        <v>10</v>
      </c>
      <c r="F64" s="2">
        <v>4.7222222222222221E-2</v>
      </c>
      <c r="G64" t="s">
        <v>258</v>
      </c>
      <c r="H64" t="s">
        <v>230</v>
      </c>
      <c r="I64" t="s">
        <v>259</v>
      </c>
      <c r="J64" s="3" t="s">
        <v>260</v>
      </c>
      <c r="K64" t="str">
        <f t="shared" si="0"/>
        <v>Streaming Era (2020-2022)</v>
      </c>
      <c r="L64">
        <f t="shared" si="1"/>
        <v>0</v>
      </c>
    </row>
    <row r="65" spans="1:12" ht="102" x14ac:dyDescent="0.2">
      <c r="A65" t="s">
        <v>261</v>
      </c>
      <c r="B65">
        <v>2022</v>
      </c>
      <c r="C65">
        <v>8.5</v>
      </c>
      <c r="D65" s="1">
        <v>101710</v>
      </c>
      <c r="E65">
        <v>12</v>
      </c>
      <c r="F65" s="2">
        <v>4.3055555555555555E-2</v>
      </c>
      <c r="G65" t="s">
        <v>82</v>
      </c>
      <c r="H65" t="s">
        <v>262</v>
      </c>
      <c r="I65" t="s">
        <v>263</v>
      </c>
      <c r="J65" s="3" t="s">
        <v>264</v>
      </c>
      <c r="K65" t="str">
        <f t="shared" si="0"/>
        <v>Streaming Era (2020-2022)</v>
      </c>
      <c r="L65">
        <f t="shared" si="1"/>
        <v>0</v>
      </c>
    </row>
    <row r="66" spans="1:12" ht="153" x14ac:dyDescent="0.2">
      <c r="A66" t="s">
        <v>265</v>
      </c>
      <c r="B66">
        <v>2017</v>
      </c>
      <c r="C66">
        <v>8.1999999999999993</v>
      </c>
      <c r="D66" s="1">
        <v>101149</v>
      </c>
      <c r="E66">
        <v>20</v>
      </c>
      <c r="F66" s="2">
        <v>5.5555555555555552E-2</v>
      </c>
      <c r="G66" t="s">
        <v>20</v>
      </c>
      <c r="H66" t="s">
        <v>46</v>
      </c>
      <c r="I66" t="s">
        <v>266</v>
      </c>
      <c r="J66" s="3" t="s">
        <v>267</v>
      </c>
      <c r="K66" t="str">
        <f t="shared" si="0"/>
        <v>Peak Era (2017-2019)</v>
      </c>
      <c r="L66">
        <f t="shared" si="1"/>
        <v>0</v>
      </c>
    </row>
    <row r="67" spans="1:12" ht="51" x14ac:dyDescent="0.2">
      <c r="A67" t="s">
        <v>268</v>
      </c>
      <c r="B67">
        <v>2019</v>
      </c>
      <c r="C67">
        <v>7.8</v>
      </c>
      <c r="D67" s="1">
        <v>100611</v>
      </c>
      <c r="E67">
        <v>16</v>
      </c>
      <c r="F67" s="2">
        <v>4.1666666666666664E-2</v>
      </c>
      <c r="G67" t="s">
        <v>50</v>
      </c>
      <c r="H67" t="s">
        <v>269</v>
      </c>
      <c r="I67" t="s">
        <v>270</v>
      </c>
      <c r="J67" s="3" t="s">
        <v>271</v>
      </c>
      <c r="K67" t="str">
        <f t="shared" ref="K67:K101" si="2">IF(B67&lt;=2012,"Early Era (2007-2012)",IF(B67&lt;=2016,"Growth Era (2013-2016)",IF(B67&lt;=2019,"Peak Era (2017-2019)",IF(B67&lt;=2022,"Streaming Era (2020-2022)","Global Era (2023-2024)"))))</f>
        <v>Peak Era (2017-2019)</v>
      </c>
      <c r="L67">
        <f t="shared" ref="L67:L101" si="3">IF(C67&gt;=8.8,1,0)</f>
        <v>0</v>
      </c>
    </row>
    <row r="68" spans="1:12" ht="51" x14ac:dyDescent="0.2">
      <c r="A68" t="s">
        <v>272</v>
      </c>
      <c r="B68">
        <v>2023</v>
      </c>
      <c r="C68">
        <v>8.1999999999999993</v>
      </c>
      <c r="D68" s="1">
        <v>100446</v>
      </c>
      <c r="E68">
        <v>16</v>
      </c>
      <c r="F68" s="2">
        <v>4.583333333333333E-2</v>
      </c>
      <c r="G68" t="s">
        <v>11</v>
      </c>
      <c r="H68" t="s">
        <v>273</v>
      </c>
      <c r="I68" t="s">
        <v>274</v>
      </c>
      <c r="J68" s="3" t="s">
        <v>275</v>
      </c>
      <c r="K68" t="str">
        <f t="shared" si="2"/>
        <v>Global Era (2023-2024)</v>
      </c>
      <c r="L68">
        <f t="shared" si="3"/>
        <v>0</v>
      </c>
    </row>
    <row r="69" spans="1:12" ht="102" x14ac:dyDescent="0.2">
      <c r="A69" t="s">
        <v>276</v>
      </c>
      <c r="B69">
        <v>2022</v>
      </c>
      <c r="C69">
        <v>8.8000000000000007</v>
      </c>
      <c r="D69" s="1">
        <v>99622</v>
      </c>
      <c r="E69">
        <v>16</v>
      </c>
      <c r="F69" s="2">
        <v>4.1666666666666664E-2</v>
      </c>
      <c r="G69" t="s">
        <v>11</v>
      </c>
      <c r="H69" t="s">
        <v>277</v>
      </c>
      <c r="I69" t="s">
        <v>278</v>
      </c>
      <c r="J69" s="3" t="s">
        <v>279</v>
      </c>
      <c r="K69" t="str">
        <f t="shared" si="2"/>
        <v>Streaming Era (2020-2022)</v>
      </c>
      <c r="L69">
        <f t="shared" si="3"/>
        <v>1</v>
      </c>
    </row>
    <row r="70" spans="1:12" ht="119" x14ac:dyDescent="0.2">
      <c r="A70" t="s">
        <v>280</v>
      </c>
      <c r="B70">
        <v>2020</v>
      </c>
      <c r="C70">
        <v>8.1999999999999993</v>
      </c>
      <c r="D70" s="1">
        <v>98094</v>
      </c>
      <c r="E70">
        <v>16</v>
      </c>
      <c r="F70" s="2">
        <v>4.8611111111111112E-2</v>
      </c>
      <c r="G70" t="s">
        <v>25</v>
      </c>
      <c r="H70" t="s">
        <v>281</v>
      </c>
      <c r="I70" t="s">
        <v>282</v>
      </c>
      <c r="J70" s="3" t="s">
        <v>283</v>
      </c>
      <c r="K70" t="str">
        <f t="shared" si="2"/>
        <v>Streaming Era (2020-2022)</v>
      </c>
      <c r="L70">
        <f t="shared" si="3"/>
        <v>0</v>
      </c>
    </row>
    <row r="71" spans="1:12" ht="85" x14ac:dyDescent="0.2">
      <c r="A71" t="s">
        <v>284</v>
      </c>
      <c r="B71">
        <v>2021</v>
      </c>
      <c r="C71">
        <v>8.8000000000000007</v>
      </c>
      <c r="D71" s="1">
        <v>98169</v>
      </c>
      <c r="E71">
        <v>12</v>
      </c>
      <c r="F71" s="2">
        <v>4.5138888888888888E-2</v>
      </c>
      <c r="G71" t="s">
        <v>11</v>
      </c>
      <c r="H71" t="s">
        <v>285</v>
      </c>
      <c r="I71" t="s">
        <v>286</v>
      </c>
      <c r="J71" s="3" t="s">
        <v>287</v>
      </c>
      <c r="K71" t="str">
        <f t="shared" si="2"/>
        <v>Streaming Era (2020-2022)</v>
      </c>
      <c r="L71">
        <f t="shared" si="3"/>
        <v>1</v>
      </c>
    </row>
    <row r="72" spans="1:12" ht="85" x14ac:dyDescent="0.2">
      <c r="A72" t="s">
        <v>288</v>
      </c>
      <c r="B72">
        <v>2023</v>
      </c>
      <c r="C72">
        <v>9.1999999999999993</v>
      </c>
      <c r="D72" s="1">
        <v>98619</v>
      </c>
      <c r="E72">
        <v>16</v>
      </c>
      <c r="F72" s="2">
        <v>4.8611111111111112E-2</v>
      </c>
      <c r="G72" t="s">
        <v>50</v>
      </c>
      <c r="H72" t="s">
        <v>289</v>
      </c>
      <c r="I72" t="s">
        <v>290</v>
      </c>
      <c r="J72" s="3" t="s">
        <v>291</v>
      </c>
      <c r="K72" t="str">
        <f t="shared" si="2"/>
        <v>Global Era (2023-2024)</v>
      </c>
      <c r="L72">
        <f t="shared" si="3"/>
        <v>1</v>
      </c>
    </row>
    <row r="73" spans="1:12" ht="136" x14ac:dyDescent="0.2">
      <c r="A73" t="s">
        <v>292</v>
      </c>
      <c r="B73">
        <v>2017</v>
      </c>
      <c r="C73">
        <v>7.4</v>
      </c>
      <c r="D73" s="1">
        <v>97361</v>
      </c>
      <c r="E73">
        <v>16</v>
      </c>
      <c r="F73" s="2">
        <v>4.8611111111111112E-2</v>
      </c>
      <c r="G73" t="s">
        <v>50</v>
      </c>
      <c r="H73" t="s">
        <v>103</v>
      </c>
      <c r="I73" t="s">
        <v>293</v>
      </c>
      <c r="J73" s="3" t="s">
        <v>294</v>
      </c>
      <c r="K73" t="str">
        <f t="shared" si="2"/>
        <v>Peak Era (2017-2019)</v>
      </c>
      <c r="L73">
        <f t="shared" si="3"/>
        <v>0</v>
      </c>
    </row>
    <row r="74" spans="1:12" ht="68" x14ac:dyDescent="0.2">
      <c r="A74" t="s">
        <v>295</v>
      </c>
      <c r="B74">
        <v>2019</v>
      </c>
      <c r="C74">
        <v>8.5</v>
      </c>
      <c r="D74" s="1">
        <v>97211</v>
      </c>
      <c r="E74">
        <v>16</v>
      </c>
      <c r="F74" s="2">
        <v>4.8611111111111112E-2</v>
      </c>
      <c r="G74" t="s">
        <v>11</v>
      </c>
      <c r="H74" t="s">
        <v>210</v>
      </c>
      <c r="I74" t="s">
        <v>296</v>
      </c>
      <c r="J74" s="3" t="s">
        <v>297</v>
      </c>
      <c r="K74" t="str">
        <f t="shared" si="2"/>
        <v>Peak Era (2017-2019)</v>
      </c>
      <c r="L74">
        <f t="shared" si="3"/>
        <v>0</v>
      </c>
    </row>
    <row r="75" spans="1:12" ht="85" x14ac:dyDescent="0.2">
      <c r="A75" t="s">
        <v>298</v>
      </c>
      <c r="B75">
        <v>2019</v>
      </c>
      <c r="C75">
        <v>8.4</v>
      </c>
      <c r="D75" s="1">
        <v>96957</v>
      </c>
      <c r="E75">
        <v>32</v>
      </c>
      <c r="F75" s="2">
        <v>2.4305555555555556E-2</v>
      </c>
      <c r="G75" t="s">
        <v>25</v>
      </c>
      <c r="H75" t="s">
        <v>103</v>
      </c>
      <c r="I75" t="s">
        <v>299</v>
      </c>
      <c r="J75" s="3" t="s">
        <v>300</v>
      </c>
      <c r="K75" t="str">
        <f t="shared" si="2"/>
        <v>Peak Era (2017-2019)</v>
      </c>
      <c r="L75">
        <f t="shared" si="3"/>
        <v>0</v>
      </c>
    </row>
    <row r="76" spans="1:12" ht="102" x14ac:dyDescent="0.2">
      <c r="A76" t="s">
        <v>301</v>
      </c>
      <c r="B76">
        <v>2013</v>
      </c>
      <c r="C76">
        <v>8.5</v>
      </c>
      <c r="D76" s="1">
        <v>96680</v>
      </c>
      <c r="E76">
        <v>18</v>
      </c>
      <c r="F76" s="2">
        <v>4.1666666666666664E-2</v>
      </c>
      <c r="G76" t="s">
        <v>25</v>
      </c>
      <c r="H76" t="s">
        <v>302</v>
      </c>
      <c r="I76" t="s">
        <v>303</v>
      </c>
      <c r="J76" s="3" t="s">
        <v>304</v>
      </c>
      <c r="K76" t="str">
        <f t="shared" si="2"/>
        <v>Growth Era (2013-2016)</v>
      </c>
      <c r="L76">
        <f t="shared" si="3"/>
        <v>0</v>
      </c>
    </row>
    <row r="77" spans="1:12" ht="85" x14ac:dyDescent="0.2">
      <c r="A77" t="s">
        <v>305</v>
      </c>
      <c r="B77">
        <v>2019</v>
      </c>
      <c r="C77">
        <v>8.3000000000000007</v>
      </c>
      <c r="D77" s="1">
        <v>96254</v>
      </c>
      <c r="E77">
        <v>16</v>
      </c>
      <c r="F77" s="2">
        <v>4.4444444444444446E-2</v>
      </c>
      <c r="G77" t="s">
        <v>50</v>
      </c>
      <c r="H77" t="s">
        <v>306</v>
      </c>
      <c r="I77" t="s">
        <v>307</v>
      </c>
      <c r="J77" s="3" t="s">
        <v>308</v>
      </c>
      <c r="K77" t="str">
        <f t="shared" si="2"/>
        <v>Peak Era (2017-2019)</v>
      </c>
      <c r="L77">
        <f t="shared" si="3"/>
        <v>0</v>
      </c>
    </row>
    <row r="78" spans="1:12" ht="102" x14ac:dyDescent="0.2">
      <c r="A78" t="s">
        <v>309</v>
      </c>
      <c r="B78">
        <v>2017</v>
      </c>
      <c r="C78">
        <v>7.6</v>
      </c>
      <c r="D78" s="1">
        <v>95779</v>
      </c>
      <c r="E78">
        <v>13</v>
      </c>
      <c r="F78" s="2">
        <v>4.1666666666666664E-2</v>
      </c>
      <c r="G78" t="s">
        <v>50</v>
      </c>
      <c r="H78" t="s">
        <v>131</v>
      </c>
      <c r="I78" t="s">
        <v>310</v>
      </c>
      <c r="J78" s="3" t="s">
        <v>311</v>
      </c>
      <c r="K78" t="str">
        <f t="shared" si="2"/>
        <v>Peak Era (2017-2019)</v>
      </c>
      <c r="L78">
        <f t="shared" si="3"/>
        <v>0</v>
      </c>
    </row>
    <row r="79" spans="1:12" ht="119" x14ac:dyDescent="0.2">
      <c r="A79" t="s">
        <v>312</v>
      </c>
      <c r="B79">
        <v>2021</v>
      </c>
      <c r="C79">
        <v>8.3000000000000007</v>
      </c>
      <c r="D79" s="1">
        <v>94650</v>
      </c>
      <c r="E79">
        <v>16</v>
      </c>
      <c r="F79" s="2">
        <v>4.8611111111111112E-2</v>
      </c>
      <c r="G79" t="s">
        <v>25</v>
      </c>
      <c r="H79" t="s">
        <v>313</v>
      </c>
      <c r="I79" t="s">
        <v>314</v>
      </c>
      <c r="J79" s="3" t="s">
        <v>315</v>
      </c>
      <c r="K79" t="str">
        <f t="shared" si="2"/>
        <v>Streaming Era (2020-2022)</v>
      </c>
      <c r="L79">
        <f t="shared" si="3"/>
        <v>0</v>
      </c>
    </row>
    <row r="80" spans="1:12" ht="119" x14ac:dyDescent="0.2">
      <c r="A80" t="s">
        <v>316</v>
      </c>
      <c r="B80">
        <v>2024</v>
      </c>
      <c r="C80">
        <v>9</v>
      </c>
      <c r="D80" s="1">
        <v>95003</v>
      </c>
      <c r="E80">
        <v>16</v>
      </c>
      <c r="F80" s="2">
        <v>4.8611111111111112E-2</v>
      </c>
      <c r="G80" t="s">
        <v>50</v>
      </c>
      <c r="H80" t="s">
        <v>317</v>
      </c>
      <c r="I80" t="s">
        <v>318</v>
      </c>
      <c r="J80" s="3" t="s">
        <v>319</v>
      </c>
      <c r="K80" t="str">
        <f t="shared" si="2"/>
        <v>Global Era (2023-2024)</v>
      </c>
      <c r="L80">
        <f t="shared" si="3"/>
        <v>1</v>
      </c>
    </row>
    <row r="81" spans="1:12" ht="51" x14ac:dyDescent="0.2">
      <c r="A81" t="s">
        <v>320</v>
      </c>
      <c r="B81">
        <v>2014</v>
      </c>
      <c r="C81">
        <v>8.6</v>
      </c>
      <c r="D81" s="1">
        <v>93742</v>
      </c>
      <c r="E81">
        <v>16</v>
      </c>
      <c r="F81" s="2">
        <v>4.1666666666666664E-2</v>
      </c>
      <c r="G81" t="s">
        <v>25</v>
      </c>
      <c r="H81" t="s">
        <v>67</v>
      </c>
      <c r="I81" t="s">
        <v>321</v>
      </c>
      <c r="J81" s="3" t="s">
        <v>322</v>
      </c>
      <c r="K81" t="str">
        <f t="shared" si="2"/>
        <v>Growth Era (2013-2016)</v>
      </c>
      <c r="L81">
        <f t="shared" si="3"/>
        <v>0</v>
      </c>
    </row>
    <row r="82" spans="1:12" ht="119" x14ac:dyDescent="0.2">
      <c r="A82" t="s">
        <v>323</v>
      </c>
      <c r="B82">
        <v>2009</v>
      </c>
      <c r="C82">
        <v>8</v>
      </c>
      <c r="D82" s="1">
        <v>93683</v>
      </c>
      <c r="E82">
        <v>16</v>
      </c>
      <c r="F82" s="2">
        <v>4.5138888888888888E-2</v>
      </c>
      <c r="G82" t="s">
        <v>25</v>
      </c>
      <c r="H82" t="s">
        <v>324</v>
      </c>
      <c r="I82" t="s">
        <v>325</v>
      </c>
      <c r="J82" s="3" t="s">
        <v>326</v>
      </c>
      <c r="K82" t="str">
        <f t="shared" si="2"/>
        <v>Early Era (2007-2012)</v>
      </c>
      <c r="L82">
        <f t="shared" si="3"/>
        <v>0</v>
      </c>
    </row>
    <row r="83" spans="1:12" ht="85" x14ac:dyDescent="0.2">
      <c r="A83" t="s">
        <v>327</v>
      </c>
      <c r="B83">
        <v>2017</v>
      </c>
      <c r="C83">
        <v>8.5</v>
      </c>
      <c r="D83" s="1">
        <v>93464</v>
      </c>
      <c r="E83">
        <v>16</v>
      </c>
      <c r="F83" s="2">
        <v>5.0694444444444445E-2</v>
      </c>
      <c r="G83" t="s">
        <v>50</v>
      </c>
      <c r="H83" t="s">
        <v>328</v>
      </c>
      <c r="I83" t="s">
        <v>329</v>
      </c>
      <c r="J83" s="3" t="s">
        <v>330</v>
      </c>
      <c r="K83" t="str">
        <f t="shared" si="2"/>
        <v>Peak Era (2017-2019)</v>
      </c>
      <c r="L83">
        <f t="shared" si="3"/>
        <v>0</v>
      </c>
    </row>
    <row r="84" spans="1:12" ht="68" x14ac:dyDescent="0.2">
      <c r="A84" t="s">
        <v>331</v>
      </c>
      <c r="B84">
        <v>2010</v>
      </c>
      <c r="C84">
        <v>7.2</v>
      </c>
      <c r="D84" s="1">
        <v>92398</v>
      </c>
      <c r="E84">
        <v>16</v>
      </c>
      <c r="F84" s="2">
        <v>4.5138888888888888E-2</v>
      </c>
      <c r="G84" t="s">
        <v>25</v>
      </c>
      <c r="H84" t="s">
        <v>51</v>
      </c>
      <c r="I84" t="s">
        <v>332</v>
      </c>
      <c r="J84" s="3" t="s">
        <v>333</v>
      </c>
      <c r="K84" t="str">
        <f t="shared" si="2"/>
        <v>Early Era (2007-2012)</v>
      </c>
      <c r="L84">
        <f t="shared" si="3"/>
        <v>0</v>
      </c>
    </row>
    <row r="85" spans="1:12" ht="136" x14ac:dyDescent="0.2">
      <c r="A85" t="s">
        <v>334</v>
      </c>
      <c r="B85">
        <v>2024</v>
      </c>
      <c r="C85">
        <v>8.8000000000000007</v>
      </c>
      <c r="D85" s="1">
        <v>92911</v>
      </c>
      <c r="E85" t="s">
        <v>397</v>
      </c>
      <c r="F85" s="2">
        <v>6.1111111111111109E-2</v>
      </c>
      <c r="G85" t="s">
        <v>20</v>
      </c>
      <c r="H85" t="s">
        <v>131</v>
      </c>
      <c r="I85" t="s">
        <v>335</v>
      </c>
      <c r="J85" s="3" t="s">
        <v>336</v>
      </c>
      <c r="K85" t="str">
        <f t="shared" si="2"/>
        <v>Global Era (2023-2024)</v>
      </c>
      <c r="L85">
        <f t="shared" si="3"/>
        <v>1</v>
      </c>
    </row>
    <row r="86" spans="1:12" ht="102" x14ac:dyDescent="0.2">
      <c r="A86" t="s">
        <v>337</v>
      </c>
      <c r="B86">
        <v>2011</v>
      </c>
      <c r="C86">
        <v>8.3000000000000007</v>
      </c>
      <c r="D86" s="1">
        <v>91101</v>
      </c>
      <c r="E86">
        <v>20</v>
      </c>
      <c r="F86" s="2">
        <v>4.8611111111111112E-2</v>
      </c>
      <c r="G86" t="s">
        <v>25</v>
      </c>
      <c r="H86" t="s">
        <v>338</v>
      </c>
      <c r="I86" t="s">
        <v>339</v>
      </c>
      <c r="J86" s="3" t="s">
        <v>340</v>
      </c>
      <c r="K86" t="str">
        <f t="shared" si="2"/>
        <v>Early Era (2007-2012)</v>
      </c>
      <c r="L86">
        <f t="shared" si="3"/>
        <v>0</v>
      </c>
    </row>
    <row r="87" spans="1:12" ht="85" x14ac:dyDescent="0.2">
      <c r="A87" t="s">
        <v>341</v>
      </c>
      <c r="B87">
        <v>2013</v>
      </c>
      <c r="C87">
        <v>8.5</v>
      </c>
      <c r="D87" s="1">
        <v>89772</v>
      </c>
      <c r="E87">
        <v>17</v>
      </c>
      <c r="F87" s="2">
        <v>4.3055555555555555E-2</v>
      </c>
      <c r="G87" t="s">
        <v>25</v>
      </c>
      <c r="H87" t="s">
        <v>342</v>
      </c>
      <c r="I87" t="s">
        <v>343</v>
      </c>
      <c r="J87" s="3" t="s">
        <v>344</v>
      </c>
      <c r="K87" t="str">
        <f t="shared" si="2"/>
        <v>Growth Era (2013-2016)</v>
      </c>
      <c r="L87">
        <f t="shared" si="3"/>
        <v>0</v>
      </c>
    </row>
    <row r="88" spans="1:12" ht="85" x14ac:dyDescent="0.2">
      <c r="A88" t="s">
        <v>345</v>
      </c>
      <c r="B88">
        <v>2015</v>
      </c>
      <c r="C88">
        <v>8.1999999999999993</v>
      </c>
      <c r="D88" s="1">
        <v>89619</v>
      </c>
      <c r="E88">
        <v>16</v>
      </c>
      <c r="F88" s="2">
        <v>4.1666666666666664E-2</v>
      </c>
      <c r="G88" t="s">
        <v>50</v>
      </c>
      <c r="H88" t="s">
        <v>346</v>
      </c>
      <c r="I88" t="s">
        <v>347</v>
      </c>
      <c r="J88" s="3" t="s">
        <v>348</v>
      </c>
      <c r="K88" t="str">
        <f t="shared" si="2"/>
        <v>Growth Era (2013-2016)</v>
      </c>
      <c r="L88">
        <f t="shared" si="3"/>
        <v>0</v>
      </c>
    </row>
    <row r="89" spans="1:12" ht="85" x14ac:dyDescent="0.2">
      <c r="A89" t="s">
        <v>349</v>
      </c>
      <c r="B89">
        <v>2018</v>
      </c>
      <c r="C89">
        <v>8.3000000000000007</v>
      </c>
      <c r="D89" s="1">
        <v>89618</v>
      </c>
      <c r="E89">
        <v>16</v>
      </c>
      <c r="F89" s="2">
        <v>4.8611111111111112E-2</v>
      </c>
      <c r="G89" t="s">
        <v>50</v>
      </c>
      <c r="H89" t="s">
        <v>234</v>
      </c>
      <c r="I89" t="s">
        <v>350</v>
      </c>
      <c r="J89" s="3" t="s">
        <v>351</v>
      </c>
      <c r="K89" t="str">
        <f t="shared" si="2"/>
        <v>Peak Era (2017-2019)</v>
      </c>
      <c r="L89">
        <f t="shared" si="3"/>
        <v>0</v>
      </c>
    </row>
    <row r="90" spans="1:12" ht="153" x14ac:dyDescent="0.2">
      <c r="A90" t="s">
        <v>352</v>
      </c>
      <c r="B90">
        <v>2016</v>
      </c>
      <c r="C90">
        <v>8.1999999999999993</v>
      </c>
      <c r="D90" s="1">
        <v>88407</v>
      </c>
      <c r="E90">
        <v>18</v>
      </c>
      <c r="F90" s="2">
        <v>4.0972222222222222E-2</v>
      </c>
      <c r="G90" t="s">
        <v>50</v>
      </c>
      <c r="H90" t="s">
        <v>353</v>
      </c>
      <c r="I90" t="s">
        <v>354</v>
      </c>
      <c r="J90" s="3" t="s">
        <v>355</v>
      </c>
      <c r="K90" t="str">
        <f t="shared" si="2"/>
        <v>Growth Era (2013-2016)</v>
      </c>
      <c r="L90">
        <f t="shared" si="3"/>
        <v>0</v>
      </c>
    </row>
    <row r="91" spans="1:12" ht="85" x14ac:dyDescent="0.2">
      <c r="A91" t="s">
        <v>356</v>
      </c>
      <c r="B91">
        <v>2016</v>
      </c>
      <c r="C91">
        <v>8.1</v>
      </c>
      <c r="D91" s="1">
        <v>87779</v>
      </c>
      <c r="E91">
        <v>16</v>
      </c>
      <c r="F91" s="2">
        <v>4.1666666666666664E-2</v>
      </c>
      <c r="G91" t="s">
        <v>50</v>
      </c>
      <c r="H91" t="s">
        <v>342</v>
      </c>
      <c r="I91" t="s">
        <v>357</v>
      </c>
      <c r="J91" s="3" t="s">
        <v>358</v>
      </c>
      <c r="K91" t="str">
        <f t="shared" si="2"/>
        <v>Growth Era (2013-2016)</v>
      </c>
      <c r="L91">
        <f t="shared" si="3"/>
        <v>0</v>
      </c>
    </row>
    <row r="92" spans="1:12" ht="68" x14ac:dyDescent="0.2">
      <c r="A92" t="s">
        <v>359</v>
      </c>
      <c r="B92">
        <v>2016</v>
      </c>
      <c r="C92">
        <v>8.9</v>
      </c>
      <c r="D92" s="1">
        <v>87499</v>
      </c>
      <c r="E92">
        <v>16</v>
      </c>
      <c r="F92" s="2">
        <v>5.2083333333333336E-2</v>
      </c>
      <c r="G92" t="s">
        <v>11</v>
      </c>
      <c r="H92" t="s">
        <v>360</v>
      </c>
      <c r="I92" t="s">
        <v>361</v>
      </c>
      <c r="J92" s="3" t="s">
        <v>362</v>
      </c>
      <c r="K92" t="str">
        <f t="shared" si="2"/>
        <v>Growth Era (2013-2016)</v>
      </c>
      <c r="L92">
        <f t="shared" si="3"/>
        <v>1</v>
      </c>
    </row>
    <row r="93" spans="1:12" ht="85" x14ac:dyDescent="0.2">
      <c r="A93" t="s">
        <v>363</v>
      </c>
      <c r="B93">
        <v>2016</v>
      </c>
      <c r="C93">
        <v>8.1</v>
      </c>
      <c r="D93" s="1">
        <v>86949</v>
      </c>
      <c r="E93">
        <v>20</v>
      </c>
      <c r="F93" s="2">
        <v>4.1666666666666664E-2</v>
      </c>
      <c r="G93" t="s">
        <v>25</v>
      </c>
      <c r="H93" t="s">
        <v>67</v>
      </c>
      <c r="I93" t="s">
        <v>364</v>
      </c>
      <c r="J93" s="3" t="s">
        <v>365</v>
      </c>
      <c r="K93" t="str">
        <f t="shared" si="2"/>
        <v>Growth Era (2013-2016)</v>
      </c>
      <c r="L93">
        <f t="shared" si="3"/>
        <v>0</v>
      </c>
    </row>
    <row r="94" spans="1:12" ht="51" x14ac:dyDescent="0.2">
      <c r="A94" t="s">
        <v>366</v>
      </c>
      <c r="B94">
        <v>2017</v>
      </c>
      <c r="C94">
        <v>8.9</v>
      </c>
      <c r="D94" s="1">
        <v>86122</v>
      </c>
      <c r="E94">
        <v>16</v>
      </c>
      <c r="F94" s="2">
        <v>6.3888888888888884E-2</v>
      </c>
      <c r="G94" t="s">
        <v>25</v>
      </c>
      <c r="H94" t="s">
        <v>367</v>
      </c>
      <c r="I94" t="s">
        <v>368</v>
      </c>
      <c r="J94" s="3" t="s">
        <v>369</v>
      </c>
      <c r="K94" t="str">
        <f t="shared" si="2"/>
        <v>Peak Era (2017-2019)</v>
      </c>
      <c r="L94">
        <f t="shared" si="3"/>
        <v>1</v>
      </c>
    </row>
    <row r="95" spans="1:12" ht="153" x14ac:dyDescent="0.2">
      <c r="A95" t="s">
        <v>370</v>
      </c>
      <c r="B95">
        <v>2023</v>
      </c>
      <c r="C95">
        <v>9</v>
      </c>
      <c r="D95" s="1">
        <v>85137</v>
      </c>
      <c r="E95">
        <v>8</v>
      </c>
      <c r="F95" s="2">
        <v>3.8194444444444448E-2</v>
      </c>
      <c r="G95" t="s">
        <v>82</v>
      </c>
      <c r="H95" t="s">
        <v>186</v>
      </c>
      <c r="I95" t="s">
        <v>371</v>
      </c>
      <c r="J95" s="3" t="s">
        <v>188</v>
      </c>
      <c r="K95" t="str">
        <f t="shared" si="2"/>
        <v>Global Era (2023-2024)</v>
      </c>
      <c r="L95">
        <f t="shared" si="3"/>
        <v>1</v>
      </c>
    </row>
    <row r="96" spans="1:12" ht="85" x14ac:dyDescent="0.2">
      <c r="A96" t="s">
        <v>372</v>
      </c>
      <c r="B96">
        <v>2020</v>
      </c>
      <c r="C96">
        <v>8.3000000000000007</v>
      </c>
      <c r="D96" s="1">
        <v>84878</v>
      </c>
      <c r="E96">
        <v>10</v>
      </c>
      <c r="F96" s="2">
        <v>3.8194444444444448E-2</v>
      </c>
      <c r="G96" t="s">
        <v>373</v>
      </c>
      <c r="H96" t="s">
        <v>374</v>
      </c>
      <c r="I96" t="s">
        <v>375</v>
      </c>
      <c r="J96" s="3" t="s">
        <v>376</v>
      </c>
      <c r="K96" t="str">
        <f t="shared" si="2"/>
        <v>Streaming Era (2020-2022)</v>
      </c>
      <c r="L96">
        <f t="shared" si="3"/>
        <v>0</v>
      </c>
    </row>
    <row r="97" spans="1:12" ht="34" x14ac:dyDescent="0.2">
      <c r="A97" t="s">
        <v>377</v>
      </c>
      <c r="B97">
        <v>2018</v>
      </c>
      <c r="C97">
        <v>9</v>
      </c>
      <c r="D97" s="1">
        <v>84371</v>
      </c>
      <c r="E97">
        <v>16</v>
      </c>
      <c r="F97" s="2">
        <v>5.347222222222222E-2</v>
      </c>
      <c r="G97" t="s">
        <v>25</v>
      </c>
      <c r="H97" t="s">
        <v>378</v>
      </c>
      <c r="I97" t="s">
        <v>379</v>
      </c>
      <c r="J97" s="3" t="s">
        <v>380</v>
      </c>
      <c r="K97" t="str">
        <f t="shared" si="2"/>
        <v>Peak Era (2017-2019)</v>
      </c>
      <c r="L97">
        <f t="shared" si="3"/>
        <v>1</v>
      </c>
    </row>
    <row r="98" spans="1:12" ht="170" x14ac:dyDescent="0.2">
      <c r="A98" t="s">
        <v>381</v>
      </c>
      <c r="B98">
        <v>2011</v>
      </c>
      <c r="C98">
        <v>8</v>
      </c>
      <c r="D98" s="1">
        <v>83783</v>
      </c>
      <c r="E98">
        <v>16</v>
      </c>
      <c r="F98" s="2">
        <v>4.8611111111111112E-2</v>
      </c>
      <c r="G98" t="s">
        <v>50</v>
      </c>
      <c r="H98" t="s">
        <v>324</v>
      </c>
      <c r="I98" t="s">
        <v>382</v>
      </c>
      <c r="J98" s="3" t="s">
        <v>383</v>
      </c>
      <c r="K98" t="str">
        <f t="shared" si="2"/>
        <v>Early Era (2007-2012)</v>
      </c>
      <c r="L98">
        <f t="shared" si="3"/>
        <v>0</v>
      </c>
    </row>
    <row r="99" spans="1:12" ht="85" x14ac:dyDescent="0.2">
      <c r="A99" t="s">
        <v>384</v>
      </c>
      <c r="B99">
        <v>2020</v>
      </c>
      <c r="C99">
        <v>8.6</v>
      </c>
      <c r="D99" s="1">
        <v>83582</v>
      </c>
      <c r="E99">
        <v>16</v>
      </c>
      <c r="F99" s="2">
        <v>4.8611111111111112E-2</v>
      </c>
      <c r="G99" t="s">
        <v>50</v>
      </c>
      <c r="H99" t="s">
        <v>385</v>
      </c>
      <c r="I99" t="s">
        <v>386</v>
      </c>
      <c r="J99" s="3" t="s">
        <v>387</v>
      </c>
      <c r="K99" t="str">
        <f t="shared" si="2"/>
        <v>Streaming Era (2020-2022)</v>
      </c>
      <c r="L99">
        <f t="shared" si="3"/>
        <v>0</v>
      </c>
    </row>
    <row r="100" spans="1:12" ht="51" x14ac:dyDescent="0.2">
      <c r="A100" t="s">
        <v>388</v>
      </c>
      <c r="B100">
        <v>2018</v>
      </c>
      <c r="C100">
        <v>8</v>
      </c>
      <c r="D100" s="1">
        <v>83265</v>
      </c>
      <c r="E100">
        <v>16</v>
      </c>
      <c r="F100" s="2">
        <v>5.2083333333333336E-2</v>
      </c>
      <c r="G100" t="s">
        <v>11</v>
      </c>
      <c r="H100" t="s">
        <v>389</v>
      </c>
      <c r="I100" t="s">
        <v>390</v>
      </c>
      <c r="J100" s="3" t="s">
        <v>391</v>
      </c>
      <c r="K100" t="str">
        <f t="shared" si="2"/>
        <v>Peak Era (2017-2019)</v>
      </c>
      <c r="L100">
        <f t="shared" si="3"/>
        <v>0</v>
      </c>
    </row>
    <row r="101" spans="1:12" ht="85" x14ac:dyDescent="0.2">
      <c r="A101" t="s">
        <v>392</v>
      </c>
      <c r="B101">
        <v>2014</v>
      </c>
      <c r="C101">
        <v>7.9</v>
      </c>
      <c r="D101" s="1">
        <v>82611</v>
      </c>
      <c r="E101">
        <v>20</v>
      </c>
      <c r="F101" s="2">
        <v>4.1666666666666664E-2</v>
      </c>
      <c r="G101" t="s">
        <v>50</v>
      </c>
      <c r="H101" t="s">
        <v>393</v>
      </c>
      <c r="I101" t="s">
        <v>394</v>
      </c>
      <c r="J101" s="3" t="s">
        <v>395</v>
      </c>
      <c r="K101" t="str">
        <f t="shared" si="2"/>
        <v>Growth Era (2013-2016)</v>
      </c>
      <c r="L101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 1</vt:lpstr>
      <vt:lpstr>Chart 3</vt:lpstr>
      <vt:lpstr>Chart 4</vt:lpstr>
      <vt:lpstr>Summary table, chart 2</vt:lpstr>
      <vt:lpstr>Sheet10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Varthini Maniraj</dc:creator>
  <cp:lastModifiedBy>Harsha Varthini Maniraj</cp:lastModifiedBy>
  <dcterms:created xsi:type="dcterms:W3CDTF">2026-03-21T09:07:06Z</dcterms:created>
  <dcterms:modified xsi:type="dcterms:W3CDTF">2026-03-22T12:27:56Z</dcterms:modified>
</cp:coreProperties>
</file>