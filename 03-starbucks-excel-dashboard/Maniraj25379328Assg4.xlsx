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harshi/Documents/Autumn 2026/BI/Assessment 4/"/>
    </mc:Choice>
  </mc:AlternateContent>
  <xr:revisionPtr revIDLastSave="0" documentId="13_ncr:1_{34D0B290-4B8E-7241-AA88-5D150C81F617}" xr6:coauthVersionLast="47" xr6:coauthVersionMax="47" xr10:uidLastSave="{00000000-0000-0000-0000-000000000000}"/>
  <bookViews>
    <workbookView xWindow="4420" yWindow="660" windowWidth="24980" windowHeight="16640" activeTab="2" xr2:uid="{4F9BA9D3-FF39-C44F-8D04-D88CBAE8C720}"/>
  </bookViews>
  <sheets>
    <sheet name="Dashboard" sheetId="4" r:id="rId1"/>
    <sheet name="Task 1" sheetId="1" r:id="rId2"/>
    <sheet name="Task 2" sheetId="6" r:id="rId3"/>
    <sheet name="Task 3" sheetId="7" r:id="rId4"/>
    <sheet name="Task 5" sheetId="3" r:id="rId5"/>
  </sheets>
  <definedNames>
    <definedName name="Breakdown_Section">Dashboard!$B$70</definedName>
    <definedName name="Charts_Section">Dashboard!$B$20</definedName>
    <definedName name="ExternalData_1" localSheetId="2" hidden="1">'Task 2'!$A$5:$R$247</definedName>
    <definedName name="KPI_Section">Dashboard!$B$7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 l="1"/>
  <c r="G15" i="4"/>
  <c r="D248" i="6"/>
  <c r="E11" i="4"/>
  <c r="C248" i="6"/>
  <c r="B248" i="6"/>
  <c r="A248" i="6"/>
  <c r="C11" i="4"/>
  <c r="E15" i="4"/>
  <c r="C15" i="4"/>
  <c r="Z23" i="6"/>
  <c r="Z28" i="6"/>
  <c r="Z26" i="6"/>
  <c r="Z27" i="6"/>
  <c r="Z29" i="6"/>
  <c r="Z31" i="6"/>
  <c r="Z24" i="6"/>
  <c r="Z25" i="6"/>
  <c r="Z32" i="6"/>
  <c r="Z30" i="6"/>
  <c r="X23" i="6"/>
  <c r="X28" i="6"/>
  <c r="X26" i="6"/>
  <c r="Y27" i="6"/>
  <c r="Y29" i="6"/>
  <c r="Y31" i="6"/>
  <c r="Y24" i="6"/>
  <c r="Y25" i="6"/>
  <c r="Y30" i="6"/>
  <c r="Y26" i="6"/>
  <c r="Y28" i="6"/>
  <c r="Y23" i="6"/>
  <c r="Y32" i="6"/>
  <c r="X27" i="6"/>
  <c r="X29" i="6"/>
  <c r="X31" i="6"/>
  <c r="X24" i="6"/>
  <c r="X25" i="6"/>
  <c r="X30" i="6"/>
  <c r="X32" i="6"/>
  <c r="W23" i="6"/>
  <c r="W28" i="6"/>
  <c r="W26" i="6"/>
  <c r="W27" i="6"/>
  <c r="W29" i="6"/>
  <c r="W31" i="6"/>
  <c r="W24" i="6"/>
  <c r="W25" i="6"/>
  <c r="W32" i="6"/>
  <c r="W30" i="6"/>
  <c r="V23" i="6"/>
  <c r="V28" i="6"/>
  <c r="V26" i="6"/>
  <c r="V27" i="6"/>
  <c r="V29" i="6"/>
  <c r="V31" i="6"/>
  <c r="V24" i="6"/>
  <c r="V25" i="6"/>
  <c r="V32" i="6"/>
  <c r="V3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369EF4-5DCB-644F-B59E-2196AB10DF20}" keepAlive="1" name="Query - starbucks" description="Connection to the 'starbucks' query in the workbook." type="5" refreshedVersion="8" background="1" saveData="1">
    <dbPr connection="Provider=Microsoft.Mashup.OleDb.1;Data Source=$Workbook$;Location=starbucks;Extended Properties=&quot;&quot;" command="SELECT * FROM [starbucks]"/>
  </connection>
  <connection id="2" xr16:uid="{7A96ECC5-92C8-8249-B949-14140C50F780}" keepAlive="1" name="Query - starbucks (2)" description="Connection to the 'starbucks (2)' query in the workbook." type="5" refreshedVersion="8" background="1" saveData="1">
    <dbPr connection="Provider=Microsoft.Mashup.OleDb.1;Data Source=$Workbook$;Location=&quot;starbucks (2)&quot;;Extended Properties=&quot;&quot;" command="SELECT * FROM [starbucks (2)]"/>
  </connection>
</connections>
</file>

<file path=xl/sharedStrings.xml><?xml version="1.0" encoding="utf-8"?>
<sst xmlns="http://schemas.openxmlformats.org/spreadsheetml/2006/main" count="930" uniqueCount="150">
  <si>
    <t>Purpose of the Dashboard </t>
  </si>
  <si>
    <t>KPIs</t>
  </si>
  <si>
    <t>Business Scenario</t>
  </si>
  <si>
    <t>Key Objectives</t>
  </si>
  <si>
    <t>Target Audience </t>
  </si>
  <si>
    <t>Beverage_category</t>
  </si>
  <si>
    <t>Beverage</t>
  </si>
  <si>
    <t>Beverage_prep</t>
  </si>
  <si>
    <t>Calories</t>
  </si>
  <si>
    <t xml:space="preserve"> Total Fat (g)</t>
  </si>
  <si>
    <t xml:space="preserve">Trans Fat (g) </t>
  </si>
  <si>
    <t>Saturated Fat (g)</t>
  </si>
  <si>
    <t xml:space="preserve"> Sodium (mg)</t>
  </si>
  <si>
    <t xml:space="preserve"> Total Carbohydrates (g) </t>
  </si>
  <si>
    <t>Cholesterol (mg)</t>
  </si>
  <si>
    <t xml:space="preserve"> Dietary Fibre (g)</t>
  </si>
  <si>
    <t xml:space="preserve"> Sugars (g)</t>
  </si>
  <si>
    <t xml:space="preserve"> Protein (g) </t>
  </si>
  <si>
    <t xml:space="preserve">Vitamin A (% DV) </t>
  </si>
  <si>
    <t>Vitamin C (% DV)</t>
  </si>
  <si>
    <t xml:space="preserve"> Calcium (% DV) </t>
  </si>
  <si>
    <t xml:space="preserve">Iron (% DV) </t>
  </si>
  <si>
    <t>Caffeine (mg)</t>
  </si>
  <si>
    <t>Coffee</t>
  </si>
  <si>
    <t>Brewed Coffee</t>
  </si>
  <si>
    <t>Short</t>
  </si>
  <si>
    <t>Tall</t>
  </si>
  <si>
    <t>Grande</t>
  </si>
  <si>
    <t>Venti</t>
  </si>
  <si>
    <t>Classic Espresso Drinks</t>
  </si>
  <si>
    <t>Caffè Latte</t>
  </si>
  <si>
    <t>Short Nonfat Milk</t>
  </si>
  <si>
    <t>2% Milk</t>
  </si>
  <si>
    <t>Soymilk</t>
  </si>
  <si>
    <t>Tall Nonfat Milk</t>
  </si>
  <si>
    <t>Grande Nonfat Milk</t>
  </si>
  <si>
    <t>Venti Nonfat Milk</t>
  </si>
  <si>
    <t>Caffè Mocha (Without Whipped Cream)</t>
  </si>
  <si>
    <t>Vanilla Latte (Or Other Flavoured Latte)</t>
  </si>
  <si>
    <t>Caffè Americano</t>
  </si>
  <si>
    <t>Cappuccino</t>
  </si>
  <si>
    <t>Espresso</t>
  </si>
  <si>
    <t>Solo</t>
  </si>
  <si>
    <t>Doppio</t>
  </si>
  <si>
    <t>Skinny Latte (Any Flavour)</t>
  </si>
  <si>
    <t>Signature Espresso Drinks</t>
  </si>
  <si>
    <t>Caramel Macchiato</t>
  </si>
  <si>
    <t>White Chocolate Mocha (Without Whipped Cream)</t>
  </si>
  <si>
    <t>Hot Chocolate (Without Whipped Cream)</t>
  </si>
  <si>
    <t>Caramel Apple Spice (Without Whipped Cream)</t>
  </si>
  <si>
    <t>Tazo® Tea Drinks</t>
  </si>
  <si>
    <t>Tazo® Tea</t>
  </si>
  <si>
    <t>Varies</t>
  </si>
  <si>
    <t>Tazo® Chai Tea Latte</t>
  </si>
  <si>
    <t>Tazo® Green Tea Latte</t>
  </si>
  <si>
    <t>Tazo® Full-Leaf Tea Latte</t>
  </si>
  <si>
    <t>varies</t>
  </si>
  <si>
    <t>Tazo® Full-Leaf Red Tea Latte (Vanilla Rooibos)</t>
  </si>
  <si>
    <t>Shaken Iced Beverages</t>
  </si>
  <si>
    <t>Iced Brewed Coffee (With Classic Syrup)</t>
  </si>
  <si>
    <t>Iced Brewed Coffee (With Milk &amp; Classic Syrup)</t>
  </si>
  <si>
    <t>Shaken Iced Tazo® Tea (With Classic Syrup)</t>
  </si>
  <si>
    <t>Shaken Iced Tazo® Tea Lemonade (With Classic Syrup)</t>
  </si>
  <si>
    <t>Smoothies</t>
  </si>
  <si>
    <t>Banana Chocolate Smoothie</t>
  </si>
  <si>
    <t>Orange Mango Banana Smoothie</t>
  </si>
  <si>
    <t>Strawberry Banana Smoothie</t>
  </si>
  <si>
    <t>Frappuccino® Blended Coffee</t>
  </si>
  <si>
    <t>Whole Milk</t>
  </si>
  <si>
    <t>Mocha (Without Whipped Cream)</t>
  </si>
  <si>
    <t>Caramel (Without Whipped Cream)</t>
  </si>
  <si>
    <t>Java Chip (Without Whipped Cream)</t>
  </si>
  <si>
    <t>Frappuccino® Light Blended Coffee</t>
  </si>
  <si>
    <t>Mocha</t>
  </si>
  <si>
    <t>Caramel</t>
  </si>
  <si>
    <t>Java Chip</t>
  </si>
  <si>
    <t>Frappuccino® Blended Crème</t>
  </si>
  <si>
    <t>Strawberries &amp; Crème (Without Whipped Cream)</t>
  </si>
  <si>
    <t>3 2</t>
  </si>
  <si>
    <t>Vanilla Bean (Without Whipped Cream)</t>
  </si>
  <si>
    <t>DATASET: STARBUCKS BEVERAGE NUTRITIONAL DATA (Kaggle, Creative Commons)</t>
  </si>
  <si>
    <t>1. Stripped leading/trailing whitespace from all column headers and string values.</t>
  </si>
  <si>
    <t xml:space="preserve">Source: https://www.kaggle.com/datasets/starbucks/starbucks-menu								</t>
  </si>
  <si>
    <t>4. Verified no duplicate rows exist across all 242 records.</t>
  </si>
  <si>
    <t xml:space="preserve">DATA CLEANING </t>
  </si>
  <si>
    <t>Sub Tables for data visualisations</t>
  </si>
  <si>
    <t>Category</t>
  </si>
  <si>
    <t>Avg Calories</t>
  </si>
  <si>
    <t>Avg Sugar</t>
  </si>
  <si>
    <t>Avg Caffeine</t>
  </si>
  <si>
    <t>Avg Fat</t>
  </si>
  <si>
    <t>Count</t>
  </si>
  <si>
    <t>1. Category Averages</t>
  </si>
  <si>
    <t>2. Top 10 Calories:</t>
  </si>
  <si>
    <t>Sugar(g)</t>
  </si>
  <si>
    <t>Fat(g)</t>
  </si>
  <si>
    <t>Beverage Category</t>
  </si>
  <si>
    <t xml:space="preserve">Beverage </t>
  </si>
  <si>
    <t>ETHICAL CONSIDERATIONS IN DASHBOARD DESIGN</t>
  </si>
  <si>
    <t>Data privacy</t>
  </si>
  <si>
    <t>Transparency</t>
  </si>
  <si>
    <t xml:space="preserve">Avoiding misleading visualisations </t>
  </si>
  <si>
    <t>STARBUCKS BEVERAGE NUTRITIONAL DASHBOARD</t>
  </si>
  <si>
    <t>Nutritional Intelligence for Menu Planning &amp; Consumer Guidance  |  242 Beverages  |  9 Categories</t>
  </si>
  <si>
    <t>Total Menu Items</t>
  </si>
  <si>
    <t>beverages analysed</t>
  </si>
  <si>
    <t>Avg Calories / Item</t>
  </si>
  <si>
    <t>kcal per beverage</t>
  </si>
  <si>
    <t>Avg Sugar / Item</t>
  </si>
  <si>
    <t>grams per beverage</t>
  </si>
  <si>
    <t>Avg Caffeine / Item</t>
  </si>
  <si>
    <t>mg per beverage</t>
  </si>
  <si>
    <t>Avg Total Fat / Item</t>
  </si>
  <si>
    <t>Avg Protein / Item</t>
  </si>
  <si>
    <t>TRENDS &amp; COMPARISONS</t>
  </si>
  <si>
    <t>KEY PERFORMANCE INDICATORS</t>
  </si>
  <si>
    <t>DETAILED NUTRITIONAL BREAKDOWN</t>
  </si>
  <si>
    <t>Category summary table</t>
  </si>
  <si>
    <t>Top 10 Highest Calorie Beverages</t>
  </si>
  <si>
    <t>Dashboard</t>
  </si>
  <si>
    <t>Task 2</t>
  </si>
  <si>
    <t>Task 5</t>
  </si>
  <si>
    <t>Task 1</t>
  </si>
  <si>
    <t>Task1</t>
  </si>
  <si>
    <r>
      <rPr>
        <b/>
        <sz val="12"/>
        <color theme="1"/>
        <rFont val="Aptos Narrow"/>
        <scheme val="minor"/>
      </rPr>
      <t>Starbucks Nutritional Intelligence Dashboard</t>
    </r>
    <r>
      <rPr>
        <sz val="12"/>
        <color theme="1"/>
        <rFont val="Aptos Narrow"/>
        <family val="2"/>
        <scheme val="minor"/>
      </rPr>
      <t xml:space="preserve">
This dashboard analyses the official Starbucks beverage menu nutrition dataset (sourced from Kaggle under a Creative Commons licence), comprising 242 menu items across 9 beverage categories. The dashboard is designed to help nutrition-focused decision-makers, including Starbucks menu planners, dietitians, and health-conscious consumers explore caloric content, sugar levels, and caffeine distribution across the full beverage range.</t>
    </r>
  </si>
  <si>
    <t>KPI Overview</t>
  </si>
  <si>
    <t>Trends &amp; Charts</t>
  </si>
  <si>
    <t>Breakdown</t>
  </si>
  <si>
    <t xml:space="preserve">Visualisations </t>
  </si>
  <si>
    <t>A horizontal bar chart was chosen to compare average calories across 9 drink categories. Bar charts clearly show differences between categories because bar length directly represents the value. The horizontal layout works better here because the category names are long and would overlap on a vertical chart. The bars are sorted from lowest to highest calories so it’s easy to see which categories are the most energy-dense. This directly supports KPI 1: Average Calories per Item.</t>
  </si>
  <si>
    <t>A pie chart was chosen because this data shows how each category makes up part of the whole menu. Each slice shows that category's share of the total. Pie charts work best for composition or proportion data where values add up to a meaningful whole (100% of the menu).
Category names and percentages are shown directly on each slice, so there’s no need to look at a separate legend.</t>
  </si>
  <si>
    <t>A horizontal bar chart was used because the data shows individual beverage names, which are long and easier to read horizontally. Unlike Charts 1-4 that show category averages, this chart focuses on specific products to find outliers. Sorting the bars from highest to lowest makes the highest-calorie drinks easy to spot.This chart supports KPI 5: Top 10 Highest-Calorie Beverages, and is important for meeting calorie disclosure rules.</t>
  </si>
  <si>
    <t>A vertical column chart was used to compare average sugar content across categories. Chart 1 used horizontal bars because the labels were long, but this chart uses columns to create a clear visual difference between the two charts. Both charts compare one measure across groups, but changing the orientation stops the dashboard from looking repetitive. The Y-axis starts at zero so the differences between categories are not exaggerated. This chart supports KPI 2: Average Sugar per Item by highlighting categories that may pose health risks due to high sugar levels.</t>
  </si>
  <si>
    <t>A column bar chart was used to compare caffeine content across drink categories, following the same approach as Chart 2. Caffeine is a separately measured value that differs clearly between categories. Coffee  is expected to be highest, while Smoothies  are lowest. Showing this in a bar chart gives quick, useful insight for people who are sensitive to caffeine.  This chart directly supports KPI 3: Average Caffeine per Item.</t>
  </si>
  <si>
    <t>Average kilocalorie content per beverage, grouped by the 9 Starbucks beverage categories, sorted from lowest to highest.</t>
  </si>
  <si>
    <t>Average milligrams of caffeine per beverage across all 9 Starbucks beverage categories.</t>
  </si>
  <si>
    <t>Proportional share of the total 242 Starbucks menu items contributed by each of the 9 beverage categories.</t>
  </si>
  <si>
    <t>Average grams of sugar per beverage across all 9 Starbucks beverage categories.</t>
  </si>
  <si>
    <t>The 10 Starbucks menu items with the highest total calorie counts, ranked from lowest to highest.</t>
  </si>
  <si>
    <t xml:space="preserve">Protecting user and customer data is a basic duty in any data system. The Starbucks nutrition data in this dashboard has no personal details, only combined nutrition numbers for public menu items, so it already uses minimal data.
</t>
  </si>
  <si>
    <t>Transparency means dashboard users can easily see where data comes from, how it was changed, and what its limits are. In this dashboard, the data source is explicitly cited in the Task 2 header (Kaggle, Creative Commons licence, full URL provided) and a data cleaning summary documents every modification made to the raw dataset, including the handling of the single missing Caffeine value.</t>
  </si>
  <si>
    <t>Visualisations can strongly affect how people understand data, so all charts are designed in a way they show information honestly. All 9 drink categories are shown, axes start at zero when suitable, bar charts are sorted by real values, and the pie chart is only used for a true part-to-whole relationship.</t>
  </si>
  <si>
    <t>Task 3</t>
  </si>
  <si>
    <r>
      <rPr>
        <b/>
        <sz val="12"/>
        <color theme="1"/>
        <rFont val="Aptos Narrow"/>
        <scheme val="minor"/>
      </rPr>
      <t>Menu Planners / Product Teams (Primary):</t>
    </r>
    <r>
      <rPr>
        <sz val="12"/>
        <color theme="1"/>
        <rFont val="Aptos Narrow"/>
        <family val="2"/>
        <scheme val="minor"/>
      </rPr>
      <t xml:space="preserve"> Require category-level comparisons of calorie, sugar, and fat averages to guide reformulation, portion decisions, and new product development. Need trend and comparison charts.
</t>
    </r>
    <r>
      <rPr>
        <b/>
        <sz val="12"/>
        <color theme="1"/>
        <rFont val="Aptos Narrow"/>
        <scheme val="minor"/>
      </rPr>
      <t>Dietitians &amp; Nutritionists (Secondary):</t>
    </r>
    <r>
      <rPr>
        <sz val="12"/>
        <color theme="1"/>
        <rFont val="Aptos Narrow"/>
        <family val="2"/>
        <scheme val="minor"/>
      </rPr>
      <t xml:space="preserve"> Need detailed macronutrient breakdowns and the ability to identify outlier items and require accurate tables with clear per-item data for client counselling.
</t>
    </r>
    <r>
      <rPr>
        <b/>
        <sz val="12"/>
        <color theme="1"/>
        <rFont val="Aptos Narrow"/>
        <scheme val="minor"/>
      </rPr>
      <t>Health-Conscious Consumers (Tertiary):</t>
    </r>
    <r>
      <rPr>
        <sz val="12"/>
        <color theme="1"/>
        <rFont val="Aptos Narrow"/>
        <family val="2"/>
        <scheme val="minor"/>
      </rPr>
      <t xml:space="preserve"> Require simple, high-level summaries e.g., which categories are lowest in sugar or calories to support informed ordering decisions at the point of purchase.</t>
    </r>
  </si>
  <si>
    <t>1. Identify which beverage categories are highest in calories and sugar to support menu reformulation decisions.
2. Compare average caffeine levels in each drink type to help people who are sensitive to caffeine.
3. Highlight the top 10 highest-calorie beverages to flag items that might need nutritional warnings.
4. Analyse macronutrient composition (fat, protein, carbohydrates) by category to support dietary guidance.
5. Enable quick comparison of preparation methods (Example: nonfat milk vs whole milk) and their caloric impact.</t>
  </si>
  <si>
    <r>
      <rPr>
        <b/>
        <sz val="12"/>
        <color theme="1"/>
        <rFont val="Aptos Narrow"/>
        <scheme val="minor"/>
      </rPr>
      <t xml:space="preserve">KPI 1: Average Calories by Category (kcal): Mean caloric content per beverage category. </t>
    </r>
    <r>
      <rPr>
        <sz val="12"/>
        <color theme="1"/>
        <rFont val="Aptos Narrow"/>
        <family val="2"/>
        <scheme val="minor"/>
      </rPr>
      <t xml:space="preserve">
Calories are the primary metric for dietary planning. Category-level averages allow consumers and planners to identify high-energy drink types at a glance.
</t>
    </r>
    <r>
      <rPr>
        <b/>
        <sz val="12"/>
        <color theme="1"/>
        <rFont val="Aptos Narrow"/>
        <scheme val="minor"/>
      </rPr>
      <t>KPI 2: Average Sugar Content by Category (g): Mean grams of sugar per category.</t>
    </r>
    <r>
      <rPr>
        <sz val="12"/>
        <color theme="1"/>
        <rFont val="Aptos Narrow"/>
        <family val="2"/>
        <scheme val="minor"/>
      </rPr>
      <t xml:space="preserve">
Sugar is a leading health concern linked to obesity and diabetes. This KPI supports identification of categories requiring reformulation or consumer warnings.
</t>
    </r>
    <r>
      <rPr>
        <b/>
        <sz val="12"/>
        <color theme="1"/>
        <rFont val="Aptos Narrow"/>
        <scheme val="minor"/>
      </rPr>
      <t xml:space="preserve">KPI 3: Average Caffeine Content by Category (mg): Mean caffeine per category. </t>
    </r>
    <r>
      <rPr>
        <sz val="12"/>
        <color theme="1"/>
        <rFont val="Aptos Narrow"/>
        <family val="2"/>
        <scheme val="minor"/>
      </rPr>
      <t xml:space="preserve">
Important for consumers with caffeine sensitivity, pregnant individuals, or those managing anxiety disorders. 
</t>
    </r>
    <r>
      <rPr>
        <b/>
        <sz val="12"/>
        <color theme="1"/>
        <rFont val="Aptos Narrow"/>
        <scheme val="minor"/>
      </rPr>
      <t>KPI 4: Average Total Fat by Category (g): Mean fat content per category.</t>
    </r>
    <r>
      <rPr>
        <sz val="12"/>
        <color theme="1"/>
        <rFont val="Aptos Narrow"/>
        <family val="2"/>
        <scheme val="minor"/>
      </rPr>
      <t xml:space="preserve">  
Fat contributes significantly to caloric density. Comparing fat across categories reveals which beverages may be unsuitable for low-fat diets.
</t>
    </r>
    <r>
      <rPr>
        <b/>
        <sz val="12"/>
        <color theme="1"/>
        <rFont val="Aptos Narrow"/>
        <scheme val="minor"/>
      </rPr>
      <t>KPI 5: Top 10 Highest-Calorie Beverages:</t>
    </r>
    <r>
      <rPr>
        <sz val="12"/>
        <color theme="1"/>
        <rFont val="Aptos Narrow"/>
        <family val="2"/>
        <scheme val="minor"/>
      </rPr>
      <t xml:space="preserve"> </t>
    </r>
    <r>
      <rPr>
        <b/>
        <sz val="12"/>
        <color theme="1"/>
        <rFont val="Aptos Narrow"/>
        <scheme val="minor"/>
      </rPr>
      <t>Ranked list of the 10 most high-calorie menu items.</t>
    </r>
    <r>
      <rPr>
        <sz val="12"/>
        <color theme="1"/>
        <rFont val="Aptos Narrow"/>
        <family val="2"/>
        <scheme val="minor"/>
      </rPr>
      <t xml:space="preserve"> 
Identifying outliers helps with focused menu reformulation and ensures compliance with calorie disclosure regulations.</t>
    </r>
  </si>
  <si>
    <t>The dataset has  242 rows and 18 columns  with  no duplicates. It had 1 missing Caffeine value which was filled with the median value (75 mg)</t>
  </si>
  <si>
    <t>2. Converted 'Total Fat (g)' from string to numeric .</t>
  </si>
  <si>
    <t>3. Converted 'Caffeine (mg)' from string to numeric. 1 missing value filled with column median (75.0 mg).</t>
  </si>
  <si>
    <t>5. All 18 columns were used as they are relevant to nutritional analysis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</si>
</sst>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2"/>
      <color theme="1"/>
      <name val="Aptos Narrow"/>
      <family val="2"/>
      <scheme val="minor"/>
    </font>
    <font>
      <sz val="12"/>
      <color rgb="FF006100"/>
      <name val="Aptos Narrow"/>
      <family val="2"/>
      <scheme val="minor"/>
    </font>
    <font>
      <b/>
      <sz val="12"/>
      <color theme="0"/>
      <name val="Aptos Narrow"/>
      <family val="2"/>
      <scheme val="minor"/>
    </font>
    <font>
      <sz val="14"/>
      <color theme="1"/>
      <name val="Aptos Narrow"/>
      <family val="2"/>
      <scheme val="minor"/>
    </font>
    <font>
      <b/>
      <sz val="14"/>
      <color theme="0"/>
      <name val="Aptos Narrow"/>
      <scheme val="minor"/>
    </font>
    <font>
      <b/>
      <sz val="14"/>
      <color theme="0"/>
      <name val="Aptos Narrow"/>
      <family val="2"/>
      <scheme val="minor"/>
    </font>
    <font>
      <sz val="16"/>
      <color theme="1"/>
      <name val="Aptos Narrow"/>
      <family val="2"/>
      <scheme val="minor"/>
    </font>
    <font>
      <b/>
      <sz val="16"/>
      <color theme="0"/>
      <name val="Aptos Narrow"/>
      <scheme val="minor"/>
    </font>
    <font>
      <b/>
      <sz val="16"/>
      <color theme="0"/>
      <name val="Aptos Narrow"/>
      <family val="2"/>
      <scheme val="minor"/>
    </font>
    <font>
      <sz val="14"/>
      <color theme="1"/>
      <name val="Aptos Narrow"/>
      <scheme val="minor"/>
    </font>
    <font>
      <sz val="14"/>
      <color theme="0"/>
      <name val="Aptos Narrow"/>
      <scheme val="minor"/>
    </font>
    <font>
      <sz val="14"/>
      <color theme="0"/>
      <name val="Aptos Narrow"/>
      <family val="2"/>
      <scheme val="minor"/>
    </font>
    <font>
      <b/>
      <sz val="14"/>
      <color theme="1"/>
      <name val="Aptos Narrow"/>
      <family val="2"/>
      <scheme val="minor"/>
    </font>
    <font>
      <u/>
      <sz val="12"/>
      <color theme="10"/>
      <name val="Aptos Narrow"/>
      <family val="2"/>
      <scheme val="minor"/>
    </font>
    <font>
      <b/>
      <sz val="14"/>
      <color rgb="FF000000"/>
      <name val="Aptos Narrow"/>
      <family val="2"/>
      <scheme val="minor"/>
    </font>
    <font>
      <sz val="14"/>
      <color rgb="FF000000"/>
      <name val="Aptos Narrow"/>
      <family val="2"/>
      <scheme val="minor"/>
    </font>
    <font>
      <sz val="20"/>
      <color theme="0"/>
      <name val="Aptos Narrow"/>
      <family val="2"/>
      <scheme val="minor"/>
    </font>
    <font>
      <i/>
      <sz val="10"/>
      <color theme="0"/>
      <name val="Aptos Narrow (Body)"/>
    </font>
    <font>
      <b/>
      <sz val="12"/>
      <color theme="1"/>
      <name val="Aptos Narrow"/>
      <scheme val="minor"/>
    </font>
    <font>
      <b/>
      <sz val="10"/>
      <color theme="0"/>
      <name val="Aptos Narrow"/>
      <scheme val="minor"/>
    </font>
    <font>
      <b/>
      <sz val="22"/>
      <color theme="0"/>
      <name val="Aptos Narrow"/>
      <scheme val="minor"/>
    </font>
    <font>
      <sz val="12"/>
      <color rgb="FF00633B"/>
      <name val="Aptos Narrow"/>
      <scheme val="minor"/>
    </font>
    <font>
      <i/>
      <sz val="14"/>
      <color theme="0"/>
      <name val="Aptos Narrow"/>
      <scheme val="minor"/>
    </font>
    <font>
      <b/>
      <sz val="18"/>
      <color theme="0"/>
      <name val="Aptos Narrow"/>
      <scheme val="minor"/>
    </font>
    <font>
      <i/>
      <sz val="18"/>
      <color theme="0"/>
      <name val="Aptos Narrow"/>
      <scheme val="minor"/>
    </font>
    <font>
      <b/>
      <sz val="20"/>
      <color theme="0"/>
      <name val="Aptos Narrow"/>
      <scheme val="minor"/>
    </font>
    <font>
      <b/>
      <sz val="36"/>
      <color theme="0"/>
      <name val="Aptos Narrow"/>
      <scheme val="minor"/>
    </font>
    <font>
      <sz val="18"/>
      <color theme="0"/>
      <name val="Aptos Narrow"/>
      <scheme val="minor"/>
    </font>
    <font>
      <i/>
      <sz val="16"/>
      <color theme="0"/>
      <name val="Aptos Narrow (Body)"/>
    </font>
    <font>
      <sz val="12"/>
      <color theme="1"/>
      <name val="Aptos Narrow"/>
      <scheme val="minor"/>
    </font>
    <font>
      <sz val="12"/>
      <color rgb="FF000000"/>
      <name val="Aptos Narrow"/>
      <family val="2"/>
      <scheme val="minor"/>
    </font>
    <font>
      <b/>
      <sz val="20"/>
      <color rgb="FFFFFFFF"/>
      <name val="Aptos Narrow"/>
      <scheme val="minor"/>
    </font>
    <font>
      <i/>
      <sz val="12"/>
      <color theme="2" tint="-0.749992370372631"/>
      <name val="Aptos Narrow"/>
      <scheme val="minor"/>
    </font>
    <font>
      <b/>
      <sz val="16"/>
      <color theme="1"/>
      <name val="Aptos Narrow"/>
      <scheme val="minor"/>
    </font>
    <font>
      <b/>
      <sz val="16"/>
      <color theme="1"/>
      <name val="Aptos Narrow (Body)"/>
    </font>
    <font>
      <b/>
      <sz val="22"/>
      <color theme="0"/>
      <name val="Aptos Narrow"/>
      <family val="2"/>
      <scheme val="minor"/>
    </font>
    <font>
      <sz val="8"/>
      <name val="Aptos Narrow"/>
      <family val="2"/>
      <scheme val="minor"/>
    </font>
    <font>
      <b/>
      <sz val="14"/>
      <color theme="2" tint="-0.499984740745262"/>
      <name val="Aptos Narrow (Body)"/>
    </font>
    <font>
      <b/>
      <sz val="14"/>
      <color theme="2" tint="-0.499984740745262"/>
      <name val="Aptos Narrow"/>
      <scheme val="minor"/>
    </font>
  </fonts>
  <fills count="7">
    <fill>
      <patternFill patternType="none"/>
    </fill>
    <fill>
      <patternFill patternType="gray125"/>
    </fill>
    <fill>
      <patternFill patternType="solid">
        <fgColor rgb="FFC6EFCE"/>
      </patternFill>
    </fill>
    <fill>
      <patternFill patternType="solid">
        <fgColor rgb="FF00633B"/>
        <bgColor indexed="64"/>
      </patternFill>
    </fill>
    <fill>
      <patternFill patternType="solid">
        <fgColor rgb="FF00804D"/>
        <bgColor indexed="64"/>
      </patternFill>
    </fill>
    <fill>
      <patternFill patternType="solid">
        <fgColor rgb="FF00804C"/>
        <bgColor indexed="64"/>
      </patternFill>
    </fill>
    <fill>
      <patternFill patternType="solid">
        <fgColor rgb="FF00633B"/>
        <bgColor rgb="FF000000"/>
      </patternFill>
    </fill>
  </fills>
  <borders count="32">
    <border>
      <left/>
      <right/>
      <top/>
      <bottom/>
      <diagonal/>
    </border>
    <border>
      <left/>
      <right style="thin">
        <color theme="0"/>
      </right>
      <top/>
      <bottom style="thin">
        <color theme="0"/>
      </bottom>
      <diagonal/>
    </border>
    <border>
      <left/>
      <right style="thin">
        <color theme="0"/>
      </right>
      <top style="thin">
        <color theme="0"/>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style="thin">
        <color theme="6"/>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right style="thin">
        <color theme="6"/>
      </right>
      <top style="thin">
        <color theme="6"/>
      </top>
      <bottom style="thin">
        <color theme="6"/>
      </bottom>
      <diagonal/>
    </border>
    <border>
      <left style="thin">
        <color theme="6"/>
      </left>
      <right/>
      <top/>
      <bottom/>
      <diagonal/>
    </border>
    <border>
      <left style="thick">
        <color rgb="FF00633B"/>
      </left>
      <right style="thick">
        <color rgb="FF00633B"/>
      </right>
      <top style="thick">
        <color rgb="FF00633B"/>
      </top>
      <bottom style="thick">
        <color rgb="FF00633B"/>
      </bottom>
      <diagonal/>
    </border>
    <border>
      <left/>
      <right/>
      <top/>
      <bottom style="thin">
        <color theme="0"/>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ck">
        <color theme="0"/>
      </right>
      <top/>
      <bottom/>
      <diagonal/>
    </border>
    <border>
      <left style="thick">
        <color theme="0"/>
      </left>
      <right/>
      <top/>
      <bottom/>
      <diagonal/>
    </border>
    <border>
      <left style="thin">
        <color rgb="FF00633B"/>
      </left>
      <right style="thin">
        <color rgb="FF00633B"/>
      </right>
      <top style="thin">
        <color rgb="FF00633B"/>
      </top>
      <bottom style="thin">
        <color rgb="FF00633B"/>
      </bottom>
      <diagonal/>
    </border>
    <border>
      <left style="thin">
        <color rgb="FF00633B"/>
      </left>
      <right/>
      <top/>
      <bottom style="thin">
        <color rgb="FF00633B"/>
      </bottom>
      <diagonal/>
    </border>
    <border>
      <left style="thin">
        <color rgb="FF00633B"/>
      </left>
      <right/>
      <top/>
      <bottom/>
      <diagonal/>
    </border>
    <border>
      <left/>
      <right/>
      <top/>
      <bottom style="thin">
        <color rgb="FF00633B"/>
      </bottom>
      <diagonal/>
    </border>
    <border>
      <left style="thin">
        <color rgb="FF00633B"/>
      </left>
      <right/>
      <top style="thin">
        <color rgb="FF00633B"/>
      </top>
      <bottom/>
      <diagonal/>
    </border>
    <border>
      <left/>
      <right/>
      <top style="thin">
        <color rgb="FF00633B"/>
      </top>
      <bottom/>
      <diagonal/>
    </border>
    <border>
      <left/>
      <right style="thin">
        <color rgb="FF00633B"/>
      </right>
      <top/>
      <bottom style="thin">
        <color rgb="FF00633B"/>
      </bottom>
      <diagonal/>
    </border>
    <border>
      <left/>
      <right style="thin">
        <color rgb="FF00633B"/>
      </right>
      <top/>
      <bottom/>
      <diagonal/>
    </border>
    <border>
      <left/>
      <right style="thin">
        <color rgb="FF00633B"/>
      </right>
      <top style="thin">
        <color rgb="FF00633B"/>
      </top>
      <bottom/>
      <diagonal/>
    </border>
    <border>
      <left style="thin">
        <color rgb="FF00633B"/>
      </left>
      <right style="thin">
        <color rgb="FF00633B"/>
      </right>
      <top/>
      <bottom style="thin">
        <color rgb="FF00633B"/>
      </bottom>
      <diagonal/>
    </border>
    <border>
      <left/>
      <right style="thin">
        <color rgb="FF00633B"/>
      </right>
      <top style="thin">
        <color rgb="FF00633B"/>
      </top>
      <bottom style="thin">
        <color rgb="FF00633B"/>
      </bottom>
      <diagonal/>
    </border>
    <border>
      <left style="thin">
        <color rgb="FF00633B"/>
      </left>
      <right/>
      <top style="thin">
        <color rgb="FF00633B"/>
      </top>
      <bottom style="thin">
        <color rgb="FF00633B"/>
      </bottom>
      <diagonal/>
    </border>
    <border>
      <left style="thin">
        <color rgb="FF00633B"/>
      </left>
      <right style="thin">
        <color rgb="FF00633B"/>
      </right>
      <top style="thin">
        <color rgb="FF00633B"/>
      </top>
      <bottom/>
      <diagonal/>
    </border>
  </borders>
  <cellStyleXfs count="4">
    <xf numFmtId="0" fontId="0" fillId="0" borderId="0"/>
    <xf numFmtId="0" fontId="1" fillId="2" borderId="0" applyNumberFormat="0" applyBorder="0" applyAlignment="0" applyProtection="0"/>
    <xf numFmtId="0" fontId="13" fillId="0" borderId="0" applyNumberFormat="0" applyFill="0" applyBorder="0" applyAlignment="0" applyProtection="0"/>
    <xf numFmtId="0" fontId="1" fillId="2" borderId="11">
      <alignment horizontal="center" vertical="center"/>
    </xf>
  </cellStyleXfs>
  <cellXfs count="104">
    <xf numFmtId="0" fontId="0" fillId="0" borderId="0" xfId="0"/>
    <xf numFmtId="0" fontId="0" fillId="3" borderId="0" xfId="0" applyFill="1"/>
    <xf numFmtId="0" fontId="0" fillId="3" borderId="0" xfId="0" applyFill="1" applyAlignment="1">
      <alignment vertical="center"/>
    </xf>
    <xf numFmtId="0" fontId="9" fillId="0" borderId="0" xfId="0" applyFont="1"/>
    <xf numFmtId="0" fontId="10" fillId="3" borderId="0" xfId="0" applyFont="1" applyFill="1"/>
    <xf numFmtId="0" fontId="9" fillId="0" borderId="0" xfId="0" applyFont="1" applyAlignment="1">
      <alignment wrapText="1"/>
    </xf>
    <xf numFmtId="0" fontId="10" fillId="3" borderId="0" xfId="0" applyFont="1" applyFill="1" applyAlignment="1">
      <alignment wrapText="1"/>
    </xf>
    <xf numFmtId="0" fontId="11" fillId="3" borderId="0" xfId="0" applyFont="1" applyFill="1"/>
    <xf numFmtId="0" fontId="5" fillId="3" borderId="6" xfId="0" applyFont="1" applyFill="1" applyBorder="1"/>
    <xf numFmtId="0" fontId="3" fillId="0" borderId="0" xfId="0" applyFont="1" applyAlignment="1">
      <alignment wrapText="1"/>
    </xf>
    <xf numFmtId="0" fontId="16" fillId="3" borderId="0" xfId="0" applyFont="1" applyFill="1" applyAlignment="1">
      <alignment vertical="center"/>
    </xf>
    <xf numFmtId="0" fontId="0" fillId="3" borderId="0" xfId="0" applyFill="1" applyAlignment="1">
      <alignment horizontal="center"/>
    </xf>
    <xf numFmtId="0" fontId="21" fillId="3" borderId="0" xfId="0" applyFont="1" applyFill="1"/>
    <xf numFmtId="0" fontId="19" fillId="3" borderId="0" xfId="0" applyFont="1" applyFill="1" applyAlignment="1">
      <alignment horizontal="center" vertical="center"/>
    </xf>
    <xf numFmtId="0" fontId="17" fillId="3" borderId="0" xfId="0" applyFont="1" applyFill="1" applyAlignment="1">
      <alignment horizontal="center"/>
    </xf>
    <xf numFmtId="0" fontId="26" fillId="3" borderId="13" xfId="0" applyFont="1" applyFill="1" applyBorder="1" applyAlignment="1">
      <alignment horizontal="center" vertical="center"/>
    </xf>
    <xf numFmtId="0" fontId="24" fillId="3" borderId="1" xfId="0" applyFont="1" applyFill="1" applyBorder="1" applyAlignment="1">
      <alignment horizontal="center" vertical="center"/>
    </xf>
    <xf numFmtId="0" fontId="26" fillId="3" borderId="15" xfId="0" applyFont="1" applyFill="1" applyBorder="1" applyAlignment="1">
      <alignment horizontal="center" vertical="center"/>
    </xf>
    <xf numFmtId="0" fontId="24" fillId="3" borderId="16" xfId="0" applyFont="1" applyFill="1" applyBorder="1" applyAlignment="1">
      <alignment horizontal="center" vertical="center"/>
    </xf>
    <xf numFmtId="0" fontId="4" fillId="3" borderId="0" xfId="0" applyFont="1" applyFill="1" applyAlignment="1">
      <alignment horizontal="left"/>
    </xf>
    <xf numFmtId="0" fontId="27" fillId="4" borderId="14" xfId="0" applyFont="1" applyFill="1" applyBorder="1" applyAlignment="1">
      <alignment horizontal="center" vertical="center"/>
    </xf>
    <xf numFmtId="0" fontId="27" fillId="4" borderId="2" xfId="0" applyFont="1" applyFill="1" applyBorder="1" applyAlignment="1">
      <alignment horizontal="center" vertical="center"/>
    </xf>
    <xf numFmtId="0" fontId="8" fillId="5" borderId="3" xfId="0" applyFont="1" applyFill="1" applyBorder="1" applyAlignment="1">
      <alignment vertical="center"/>
    </xf>
    <xf numFmtId="0" fontId="8" fillId="5" borderId="4" xfId="0" applyFont="1" applyFill="1" applyBorder="1" applyAlignment="1">
      <alignment vertical="center"/>
    </xf>
    <xf numFmtId="0" fontId="8" fillId="5" borderId="5" xfId="0" applyFont="1" applyFill="1" applyBorder="1" applyAlignment="1">
      <alignment vertical="center"/>
    </xf>
    <xf numFmtId="0" fontId="6" fillId="0" borderId="3" xfId="0" applyFont="1" applyBorder="1" applyAlignment="1">
      <alignment vertical="center" wrapText="1"/>
    </xf>
    <xf numFmtId="0" fontId="6" fillId="0" borderId="4" xfId="0" applyFont="1" applyBorder="1" applyAlignment="1">
      <alignment vertical="center"/>
    </xf>
    <xf numFmtId="0" fontId="6" fillId="0" borderId="5" xfId="0" applyFont="1" applyBorder="1" applyAlignment="1">
      <alignment vertical="center"/>
    </xf>
    <xf numFmtId="0" fontId="6" fillId="0" borderId="3"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20" fillId="5" borderId="0" xfId="1" applyFont="1" applyFill="1" applyBorder="1" applyAlignment="1">
      <alignment horizontal="center" vertical="center"/>
    </xf>
    <xf numFmtId="0" fontId="23" fillId="3" borderId="0" xfId="0" applyFont="1" applyFill="1"/>
    <xf numFmtId="0" fontId="20" fillId="5" borderId="17" xfId="1" applyFont="1" applyFill="1" applyBorder="1" applyAlignment="1">
      <alignment horizontal="center" vertical="center"/>
    </xf>
    <xf numFmtId="0" fontId="20" fillId="5" borderId="18" xfId="1" applyFont="1" applyFill="1" applyBorder="1" applyAlignment="1">
      <alignment horizontal="center" vertical="center"/>
    </xf>
    <xf numFmtId="0" fontId="5" fillId="3" borderId="0" xfId="0" applyFont="1" applyFill="1" applyAlignment="1">
      <alignment horizontal="center" vertical="center"/>
    </xf>
    <xf numFmtId="0" fontId="7" fillId="3" borderId="0" xfId="2" applyFont="1" applyFill="1" applyAlignment="1">
      <alignment horizontal="center" vertical="center"/>
    </xf>
    <xf numFmtId="0" fontId="5" fillId="0" borderId="0" xfId="0" applyFont="1"/>
    <xf numFmtId="0" fontId="0" fillId="0" borderId="0" xfId="0" applyAlignment="1">
      <alignment horizontal="center"/>
    </xf>
    <xf numFmtId="0" fontId="23" fillId="3" borderId="0" xfId="2" applyFont="1" applyFill="1" applyAlignment="1">
      <alignment horizontal="center" vertical="center"/>
    </xf>
    <xf numFmtId="0" fontId="23" fillId="3" borderId="0" xfId="2" applyFont="1" applyFill="1" applyBorder="1" applyAlignment="1">
      <alignment horizontal="center" vertical="center"/>
    </xf>
    <xf numFmtId="0" fontId="0" fillId="0" borderId="0" xfId="0" applyAlignment="1">
      <alignment vertical="center"/>
    </xf>
    <xf numFmtId="0" fontId="0" fillId="3" borderId="15" xfId="0" applyFill="1" applyBorder="1"/>
    <xf numFmtId="0" fontId="23" fillId="3" borderId="0" xfId="0" applyFont="1" applyFill="1" applyAlignment="1">
      <alignment horizontal="left"/>
    </xf>
    <xf numFmtId="0" fontId="0" fillId="0" borderId="23" xfId="0" applyBorder="1"/>
    <xf numFmtId="0" fontId="0" fillId="3" borderId="25" xfId="0" applyFill="1" applyBorder="1"/>
    <xf numFmtId="0" fontId="0" fillId="3" borderId="28" xfId="0" applyFill="1" applyBorder="1"/>
    <xf numFmtId="0" fontId="9" fillId="3" borderId="20" xfId="0" applyFont="1" applyFill="1" applyBorder="1"/>
    <xf numFmtId="0" fontId="3" fillId="0" borderId="29" xfId="0" applyFont="1" applyBorder="1" applyAlignment="1">
      <alignment wrapText="1"/>
    </xf>
    <xf numFmtId="0" fontId="9" fillId="0" borderId="19" xfId="0" applyFont="1" applyBorder="1"/>
    <xf numFmtId="0" fontId="0" fillId="0" borderId="19" xfId="0" applyBorder="1"/>
    <xf numFmtId="0" fontId="0" fillId="0" borderId="30" xfId="0" applyBorder="1"/>
    <xf numFmtId="0" fontId="3" fillId="0" borderId="29" xfId="0" applyFont="1" applyBorder="1"/>
    <xf numFmtId="0" fontId="3" fillId="0" borderId="27" xfId="0" applyFont="1" applyBorder="1"/>
    <xf numFmtId="0" fontId="9" fillId="0" borderId="31" xfId="0" applyFont="1" applyBorder="1"/>
    <xf numFmtId="0" fontId="0" fillId="0" borderId="31" xfId="0" applyBorder="1"/>
    <xf numFmtId="0" fontId="2" fillId="3" borderId="25" xfId="0" applyFont="1" applyFill="1" applyBorder="1"/>
    <xf numFmtId="0" fontId="2" fillId="3" borderId="28" xfId="0" applyFont="1" applyFill="1" applyBorder="1"/>
    <xf numFmtId="0" fontId="2" fillId="3" borderId="20" xfId="0" applyFont="1" applyFill="1" applyBorder="1"/>
    <xf numFmtId="0" fontId="3" fillId="0" borderId="19" xfId="0" applyFont="1" applyBorder="1" applyAlignment="1">
      <alignment horizontal="left" wrapText="1"/>
    </xf>
    <xf numFmtId="0" fontId="9" fillId="0" borderId="30" xfId="0" applyFont="1" applyBorder="1"/>
    <xf numFmtId="0" fontId="3" fillId="0" borderId="19" xfId="0" applyFont="1" applyBorder="1" applyAlignment="1">
      <alignment wrapText="1"/>
    </xf>
    <xf numFmtId="0" fontId="3" fillId="0" borderId="27" xfId="0" applyFont="1" applyBorder="1" applyAlignment="1">
      <alignment wrapText="1"/>
    </xf>
    <xf numFmtId="0" fontId="3" fillId="0" borderId="31" xfId="0" applyFont="1" applyBorder="1" applyAlignment="1">
      <alignment wrapText="1"/>
    </xf>
    <xf numFmtId="0" fontId="9" fillId="0" borderId="23" xfId="0" applyFont="1" applyBorder="1"/>
    <xf numFmtId="0" fontId="12" fillId="0" borderId="0" xfId="0" applyFont="1"/>
    <xf numFmtId="0" fontId="3" fillId="0" borderId="0" xfId="0" applyFont="1"/>
    <xf numFmtId="0" fontId="23" fillId="3" borderId="12" xfId="0" applyFont="1" applyFill="1" applyBorder="1" applyAlignment="1">
      <alignment horizontal="left"/>
    </xf>
    <xf numFmtId="0" fontId="26" fillId="3" borderId="0" xfId="0" applyFont="1" applyFill="1" applyAlignment="1">
      <alignment horizontal="center" vertical="center"/>
    </xf>
    <xf numFmtId="0" fontId="28" fillId="3" borderId="0" xfId="0" applyFont="1" applyFill="1" applyAlignment="1">
      <alignment horizontal="center"/>
    </xf>
    <xf numFmtId="0" fontId="6" fillId="3" borderId="0" xfId="0" applyFont="1" applyFill="1" applyAlignment="1">
      <alignment horizontal="center"/>
    </xf>
    <xf numFmtId="0" fontId="22" fillId="3" borderId="0" xfId="0" applyFont="1" applyFill="1" applyAlignment="1">
      <alignment horizontal="center" vertical="center"/>
    </xf>
    <xf numFmtId="0" fontId="29" fillId="0" borderId="0" xfId="0" applyFont="1" applyAlignment="1">
      <alignment horizontal="left" vertical="center" wrapText="1" indent="1"/>
    </xf>
    <xf numFmtId="0" fontId="0" fillId="0" borderId="0" xfId="0" applyAlignment="1">
      <alignment horizontal="center"/>
    </xf>
    <xf numFmtId="0" fontId="25" fillId="3" borderId="0" xfId="0" applyFont="1" applyFill="1" applyAlignment="1">
      <alignment horizontal="center" vertical="center"/>
    </xf>
    <xf numFmtId="0" fontId="0" fillId="0" borderId="0" xfId="0" applyAlignment="1">
      <alignment horizontal="left" vertical="center" wrapText="1" indent="1"/>
    </xf>
    <xf numFmtId="0" fontId="5" fillId="3" borderId="10" xfId="0" applyFont="1" applyFill="1" applyBorder="1" applyAlignment="1">
      <alignment horizontal="center"/>
    </xf>
    <xf numFmtId="0" fontId="5" fillId="3" borderId="0" xfId="0" applyFont="1" applyFill="1" applyAlignment="1">
      <alignment horizontal="center"/>
    </xf>
    <xf numFmtId="0" fontId="15" fillId="0" borderId="20" xfId="0" applyFont="1" applyBorder="1" applyAlignment="1">
      <alignment horizontal="left" vertical="center" wrapText="1"/>
    </xf>
    <xf numFmtId="0" fontId="15" fillId="0" borderId="22" xfId="0" applyFont="1" applyBorder="1" applyAlignment="1">
      <alignment horizontal="left" vertical="center" wrapText="1"/>
    </xf>
    <xf numFmtId="0" fontId="15" fillId="0" borderId="25" xfId="0" applyFont="1" applyBorder="1" applyAlignment="1">
      <alignment horizontal="left" vertical="center" wrapText="1"/>
    </xf>
    <xf numFmtId="0" fontId="15" fillId="0" borderId="21" xfId="0" applyFont="1" applyBorder="1" applyAlignment="1">
      <alignment horizontal="left" vertical="center" wrapText="1"/>
    </xf>
    <xf numFmtId="0" fontId="15" fillId="0" borderId="0" xfId="0" applyFont="1" applyAlignment="1">
      <alignment horizontal="left" vertical="center" wrapText="1"/>
    </xf>
    <xf numFmtId="0" fontId="15" fillId="0" borderId="26" xfId="0" applyFont="1" applyBorder="1" applyAlignment="1">
      <alignment horizontal="left" vertical="center" wrapText="1"/>
    </xf>
    <xf numFmtId="0" fontId="23" fillId="3" borderId="0" xfId="2" applyFont="1" applyFill="1" applyAlignment="1">
      <alignment horizontal="center" vertical="center"/>
    </xf>
    <xf numFmtId="0" fontId="5" fillId="3" borderId="23" xfId="0" applyFont="1" applyFill="1" applyBorder="1" applyAlignment="1">
      <alignment horizontal="center"/>
    </xf>
    <xf numFmtId="0" fontId="5" fillId="3" borderId="24" xfId="0" applyFont="1" applyFill="1" applyBorder="1" applyAlignment="1">
      <alignment horizontal="center"/>
    </xf>
    <xf numFmtId="0" fontId="5" fillId="3" borderId="27" xfId="0" applyFont="1" applyFill="1" applyBorder="1" applyAlignment="1">
      <alignment horizontal="center"/>
    </xf>
    <xf numFmtId="0" fontId="14" fillId="0" borderId="21" xfId="0" applyFont="1" applyBorder="1" applyAlignment="1">
      <alignment horizontal="center" vertical="center" wrapText="1"/>
    </xf>
    <xf numFmtId="0" fontId="14" fillId="0" borderId="0" xfId="0" applyFont="1" applyAlignment="1">
      <alignment horizontal="center" vertical="center" wrapText="1"/>
    </xf>
    <xf numFmtId="0" fontId="14" fillId="0" borderId="26" xfId="0" applyFont="1" applyBorder="1" applyAlignment="1">
      <alignment horizontal="center" vertical="center" wrapText="1"/>
    </xf>
    <xf numFmtId="0" fontId="37" fillId="0" borderId="0" xfId="0" applyFont="1" applyAlignment="1">
      <alignment horizontal="center" vertical="center"/>
    </xf>
    <xf numFmtId="0" fontId="38" fillId="0" borderId="0" xfId="0" applyFont="1" applyAlignment="1">
      <alignment horizontal="center" vertical="center"/>
    </xf>
    <xf numFmtId="0" fontId="30" fillId="0" borderId="0" xfId="0" applyFont="1" applyAlignment="1">
      <alignment horizontal="center"/>
    </xf>
    <xf numFmtId="0" fontId="31" fillId="6" borderId="0" xfId="0" applyFont="1" applyFill="1" applyAlignment="1">
      <alignment horizontal="center" vertical="center"/>
    </xf>
    <xf numFmtId="0" fontId="32" fillId="0" borderId="0" xfId="0" applyFont="1" applyAlignment="1">
      <alignment horizontal="center"/>
    </xf>
    <xf numFmtId="0" fontId="33" fillId="0" borderId="0" xfId="0" applyFont="1" applyAlignment="1">
      <alignment horizontal="left" vertical="top" wrapText="1"/>
    </xf>
    <xf numFmtId="0" fontId="8" fillId="3" borderId="10" xfId="0" applyFont="1" applyFill="1" applyBorder="1" applyAlignment="1">
      <alignment horizontal="center"/>
    </xf>
    <xf numFmtId="0" fontId="8" fillId="3" borderId="0" xfId="0" applyFont="1" applyFill="1" applyAlignment="1">
      <alignment horizontal="center"/>
    </xf>
    <xf numFmtId="0" fontId="33" fillId="0" borderId="0" xfId="0" applyFont="1" applyAlignment="1">
      <alignment horizontal="center" vertical="center" wrapText="1"/>
    </xf>
    <xf numFmtId="0" fontId="35" fillId="3" borderId="10" xfId="0" applyFont="1" applyFill="1" applyBorder="1" applyAlignment="1">
      <alignment horizontal="center" vertical="center"/>
    </xf>
    <xf numFmtId="0" fontId="35" fillId="3" borderId="0" xfId="0" applyFont="1" applyFill="1" applyAlignment="1">
      <alignment horizontal="center" vertical="center"/>
    </xf>
    <xf numFmtId="0" fontId="34" fillId="0" borderId="0" xfId="0" applyFont="1" applyAlignment="1">
      <alignment horizontal="center" vertical="center" wrapText="1"/>
    </xf>
  </cellXfs>
  <cellStyles count="4">
    <cellStyle name="Good" xfId="1" builtinId="26"/>
    <cellStyle name="Hyperlink" xfId="2" builtinId="8"/>
    <cellStyle name="Normal" xfId="0" builtinId="0"/>
    <cellStyle name="Style 1" xfId="3" xr:uid="{CF1468B4-4824-824A-8851-F36B4DDD964F}"/>
  </cellStyles>
  <dxfs count="59">
    <dxf>
      <font>
        <b val="0"/>
        <i val="0"/>
        <strike val="0"/>
        <condense val="0"/>
        <extend val="0"/>
        <outline val="0"/>
        <shadow val="0"/>
        <u val="none"/>
        <vertAlign val="baseline"/>
        <sz val="14"/>
        <color theme="1"/>
        <name val="Aptos Narrow"/>
        <scheme val="minor"/>
      </font>
      <numFmt numFmtId="0" formatCode="General"/>
      <alignment horizontal="general" vertical="bottom" textRotation="0" wrapText="0" indent="0" justifyLastLine="0" shrinkToFit="0" readingOrder="0"/>
      <border diagonalUp="0" diagonalDown="0">
        <left style="thin">
          <color rgb="FF00633B"/>
        </left>
        <right/>
        <top style="thin">
          <color rgb="FF00633B"/>
        </top>
        <bottom style="thin">
          <color rgb="FF00633B"/>
        </bottom>
        <vertical style="thin">
          <color rgb="FF00633B"/>
        </vertical>
        <horizontal style="thin">
          <color rgb="FF00633B"/>
        </horizontal>
      </border>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border diagonalUp="0" diagonalDown="0">
        <left style="thin">
          <color rgb="FF00633B"/>
        </left>
        <right style="thin">
          <color rgb="FF00633B"/>
        </right>
        <top style="thin">
          <color rgb="FF00633B"/>
        </top>
        <bottom style="thin">
          <color rgb="FF00633B"/>
        </bottom>
        <vertical style="thin">
          <color rgb="FF00633B"/>
        </vertical>
        <horizontal style="thin">
          <color rgb="FF00633B"/>
        </horizontal>
      </border>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border diagonalUp="0" diagonalDown="0">
        <left style="thin">
          <color rgb="FF00633B"/>
        </left>
        <right style="thin">
          <color rgb="FF00633B"/>
        </right>
        <top style="thin">
          <color rgb="FF00633B"/>
        </top>
        <bottom style="thin">
          <color rgb="FF00633B"/>
        </bottom>
        <vertical style="thin">
          <color rgb="FF00633B"/>
        </vertical>
        <horizontal style="thin">
          <color rgb="FF00633B"/>
        </horizontal>
      </border>
    </dxf>
    <dxf>
      <font>
        <b val="0"/>
        <i val="0"/>
        <strike val="0"/>
        <condense val="0"/>
        <extend val="0"/>
        <outline val="0"/>
        <shadow val="0"/>
        <u val="none"/>
        <vertAlign val="baseline"/>
        <sz val="14"/>
        <color theme="1"/>
        <name val="Aptos Narrow"/>
        <family val="2"/>
        <scheme val="minor"/>
      </font>
      <numFmt numFmtId="0" formatCode="General"/>
      <alignment horizontal="general" vertical="bottom" textRotation="0" wrapText="1" indent="0" justifyLastLine="0" shrinkToFit="0" readingOrder="0"/>
      <border diagonalUp="0" diagonalDown="0">
        <left style="thin">
          <color rgb="FF00633B"/>
        </left>
        <right style="thin">
          <color rgb="FF00633B"/>
        </right>
        <top style="thin">
          <color rgb="FF00633B"/>
        </top>
        <bottom style="thin">
          <color rgb="FF00633B"/>
        </bottom>
        <vertical style="thin">
          <color rgb="FF00633B"/>
        </vertical>
        <horizontal style="thin">
          <color rgb="FF00633B"/>
        </horizontal>
      </border>
    </dxf>
    <dxf>
      <font>
        <b val="0"/>
        <i val="0"/>
        <strike val="0"/>
        <condense val="0"/>
        <extend val="0"/>
        <outline val="0"/>
        <shadow val="0"/>
        <u val="none"/>
        <vertAlign val="baseline"/>
        <sz val="14"/>
        <color theme="1"/>
        <name val="Aptos Narrow"/>
        <family val="2"/>
        <scheme val="minor"/>
      </font>
      <numFmt numFmtId="0" formatCode="General"/>
      <alignment horizontal="general" vertical="bottom" textRotation="0" wrapText="1" indent="0" justifyLastLine="0" shrinkToFit="0" readingOrder="0"/>
      <border diagonalUp="0" diagonalDown="0">
        <left/>
        <right style="thin">
          <color rgb="FF00633B"/>
        </right>
        <top style="thin">
          <color rgb="FF00633B"/>
        </top>
        <bottom style="thin">
          <color rgb="FF00633B"/>
        </bottom>
        <vertical style="thin">
          <color rgb="FF00633B"/>
        </vertical>
        <horizontal style="thin">
          <color rgb="FF00633B"/>
        </horizontal>
      </border>
    </dxf>
    <dxf>
      <border>
        <top style="thin">
          <color rgb="FF00633B"/>
        </top>
      </border>
    </dxf>
    <dxf>
      <border diagonalUp="0" diagonalDown="0">
        <left style="thin">
          <color rgb="FF00633B"/>
        </left>
        <right style="thin">
          <color rgb="FF00633B"/>
        </right>
        <top style="thin">
          <color rgb="FF00633B"/>
        </top>
        <bottom style="thin">
          <color rgb="FF00633B"/>
        </bottom>
      </border>
    </dxf>
    <dxf>
      <font>
        <b val="0"/>
        <i val="0"/>
        <strike val="0"/>
        <condense val="0"/>
        <extend val="0"/>
        <outline val="0"/>
        <shadow val="0"/>
        <u val="none"/>
        <vertAlign val="baseline"/>
        <sz val="14"/>
        <color theme="1"/>
        <name val="Aptos Narrow"/>
        <scheme val="minor"/>
      </font>
    </dxf>
    <dxf>
      <border>
        <bottom style="thin">
          <color rgb="FF00633B"/>
        </bottom>
      </border>
    </dxf>
    <dxf>
      <font>
        <b/>
        <i val="0"/>
        <strike val="0"/>
        <condense val="0"/>
        <extend val="0"/>
        <outline val="0"/>
        <shadow val="0"/>
        <u val="none"/>
        <vertAlign val="baseline"/>
        <sz val="12"/>
        <color theme="0"/>
        <name val="Aptos Narrow"/>
        <family val="2"/>
        <scheme val="minor"/>
      </font>
      <fill>
        <patternFill patternType="solid">
          <fgColor indexed="64"/>
          <bgColor rgb="FF00633B"/>
        </patternFill>
      </fill>
      <border diagonalUp="0" diagonalDown="0">
        <left style="thin">
          <color rgb="FF00633B"/>
        </left>
        <right style="thin">
          <color rgb="FF00633B"/>
        </right>
        <top/>
        <bottom/>
        <vertical style="thin">
          <color rgb="FF00633B"/>
        </vertical>
        <horizontal style="thin">
          <color rgb="FF00633B"/>
        </horizontal>
      </border>
    </dxf>
    <dxf>
      <font>
        <b val="0"/>
        <i val="0"/>
        <strike val="0"/>
        <condense val="0"/>
        <extend val="0"/>
        <outline val="0"/>
        <shadow val="0"/>
        <u val="none"/>
        <vertAlign val="baseline"/>
        <sz val="14"/>
        <color theme="1"/>
        <name val="Aptos Narrow"/>
        <scheme val="minor"/>
      </font>
      <border diagonalUp="0" diagonalDown="0">
        <left style="thin">
          <color rgb="FF00633B"/>
        </left>
        <right/>
        <top style="thin">
          <color rgb="FF00633B"/>
        </top>
        <bottom style="thin">
          <color rgb="FF00633B"/>
        </bottom>
        <vertical style="thin">
          <color rgb="FF00633B"/>
        </vertical>
        <horizontal style="thin">
          <color rgb="FF00633B"/>
        </horizontal>
      </border>
    </dxf>
    <dxf>
      <font>
        <b val="0"/>
        <i val="0"/>
        <strike val="0"/>
        <condense val="0"/>
        <extend val="0"/>
        <outline val="0"/>
        <shadow val="0"/>
        <u val="none"/>
        <vertAlign val="baseline"/>
        <sz val="14"/>
        <color theme="1"/>
        <name val="Aptos Narrow"/>
        <scheme val="minor"/>
      </font>
      <border diagonalUp="0" diagonalDown="0">
        <left style="thin">
          <color rgb="FF00633B"/>
        </left>
        <right style="thin">
          <color rgb="FF00633B"/>
        </right>
        <top style="thin">
          <color rgb="FF00633B"/>
        </top>
        <bottom style="thin">
          <color rgb="FF00633B"/>
        </bottom>
        <vertical style="thin">
          <color rgb="FF00633B"/>
        </vertical>
        <horizontal style="thin">
          <color rgb="FF00633B"/>
        </horizontal>
      </border>
    </dxf>
    <dxf>
      <font>
        <b val="0"/>
        <i val="0"/>
        <strike val="0"/>
        <condense val="0"/>
        <extend val="0"/>
        <outline val="0"/>
        <shadow val="0"/>
        <u val="none"/>
        <vertAlign val="baseline"/>
        <sz val="14"/>
        <color theme="1"/>
        <name val="Aptos Narrow"/>
        <scheme val="minor"/>
      </font>
      <border diagonalUp="0" diagonalDown="0">
        <left style="thin">
          <color rgb="FF00633B"/>
        </left>
        <right style="thin">
          <color rgb="FF00633B"/>
        </right>
        <top style="thin">
          <color rgb="FF00633B"/>
        </top>
        <bottom style="thin">
          <color rgb="FF00633B"/>
        </bottom>
        <vertical style="thin">
          <color rgb="FF00633B"/>
        </vertical>
        <horizontal style="thin">
          <color rgb="FF00633B"/>
        </horizontal>
      </border>
    </dxf>
    <dxf>
      <font>
        <b val="0"/>
        <i val="0"/>
        <strike val="0"/>
        <condense val="0"/>
        <extend val="0"/>
        <outline val="0"/>
        <shadow val="0"/>
        <u val="none"/>
        <vertAlign val="baseline"/>
        <sz val="14"/>
        <color theme="1"/>
        <name val="Aptos Narrow"/>
        <scheme val="minor"/>
      </font>
      <border diagonalUp="0" diagonalDown="0">
        <left style="thin">
          <color rgb="FF00633B"/>
        </left>
        <right style="thin">
          <color rgb="FF00633B"/>
        </right>
        <top style="thin">
          <color rgb="FF00633B"/>
        </top>
        <bottom style="thin">
          <color rgb="FF00633B"/>
        </bottom>
        <vertical style="thin">
          <color rgb="FF00633B"/>
        </vertical>
        <horizontal style="thin">
          <color rgb="FF00633B"/>
        </horizontal>
      </border>
    </dxf>
    <dxf>
      <font>
        <b val="0"/>
        <i val="0"/>
        <strike val="0"/>
        <condense val="0"/>
        <extend val="0"/>
        <outline val="0"/>
        <shadow val="0"/>
        <u val="none"/>
        <vertAlign val="baseline"/>
        <sz val="14"/>
        <color theme="1"/>
        <name val="Aptos Narrow"/>
        <scheme val="minor"/>
      </font>
      <numFmt numFmtId="0" formatCode="General"/>
      <border diagonalUp="0" diagonalDown="0">
        <left style="thin">
          <color rgb="FF00633B"/>
        </left>
        <right style="thin">
          <color rgb="FF00633B"/>
        </right>
        <top style="thin">
          <color rgb="FF00633B"/>
        </top>
        <bottom style="thin">
          <color rgb="FF00633B"/>
        </bottom>
        <vertical style="thin">
          <color rgb="FF00633B"/>
        </vertical>
        <horizontal style="thin">
          <color rgb="FF00633B"/>
        </horizontal>
      </border>
    </dxf>
    <dxf>
      <font>
        <b val="0"/>
        <i val="0"/>
        <strike val="0"/>
        <condense val="0"/>
        <extend val="0"/>
        <outline val="0"/>
        <shadow val="0"/>
        <u val="none"/>
        <vertAlign val="baseline"/>
        <sz val="14"/>
        <color theme="1"/>
        <name val="Aptos Narrow"/>
        <family val="2"/>
        <scheme val="minor"/>
      </font>
      <numFmt numFmtId="0" formatCode="General"/>
      <alignment horizontal="general" vertical="bottom" textRotation="0" wrapText="1" indent="0" justifyLastLine="0" shrinkToFit="0" readingOrder="0"/>
      <border diagonalUp="0" diagonalDown="0">
        <left/>
        <right style="thin">
          <color rgb="FF00633B"/>
        </right>
        <top style="thin">
          <color rgb="FF00633B"/>
        </top>
        <bottom style="thin">
          <color rgb="FF00633B"/>
        </bottom>
        <vertical style="thin">
          <color rgb="FF00633B"/>
        </vertical>
        <horizontal style="thin">
          <color rgb="FF00633B"/>
        </horizontal>
      </border>
    </dxf>
    <dxf>
      <border>
        <top style="thin">
          <color rgb="FF00633B"/>
        </top>
      </border>
    </dxf>
    <dxf>
      <border diagonalUp="0" diagonalDown="0">
        <left style="thin">
          <color rgb="FF00633B"/>
        </left>
        <right style="thin">
          <color rgb="FF00633B"/>
        </right>
        <top style="thin">
          <color rgb="FF00633B"/>
        </top>
        <bottom style="thin">
          <color rgb="FF00633B"/>
        </bottom>
      </border>
    </dxf>
    <dxf>
      <font>
        <b val="0"/>
        <i val="0"/>
        <strike val="0"/>
        <condense val="0"/>
        <extend val="0"/>
        <outline val="0"/>
        <shadow val="0"/>
        <u val="none"/>
        <vertAlign val="baseline"/>
        <sz val="14"/>
        <color theme="1"/>
        <name val="Aptos Narrow"/>
        <scheme val="minor"/>
      </font>
    </dxf>
    <dxf>
      <border>
        <bottom style="thin">
          <color rgb="FF00633B"/>
        </bottom>
      </border>
    </dxf>
    <dxf>
      <fill>
        <patternFill patternType="solid">
          <fgColor indexed="64"/>
          <bgColor rgb="FF00633B"/>
        </patternFill>
      </fill>
      <alignment horizontal="general" vertical="bottom" textRotation="0" wrapText="0" indent="0" justifyLastLine="0" shrinkToFit="0" readingOrder="0"/>
      <border diagonalUp="0" diagonalDown="0">
        <left style="thin">
          <color rgb="FF00633B"/>
        </left>
        <right style="thin">
          <color rgb="FF00633B"/>
        </right>
        <top/>
        <bottom/>
        <vertical style="thin">
          <color rgb="FF00633B"/>
        </vertical>
        <horizontal style="thin">
          <color rgb="FF00633B"/>
        </horizontal>
      </border>
    </dxf>
    <dxf>
      <font>
        <b val="0"/>
        <i val="0"/>
        <strike val="0"/>
        <condense val="0"/>
        <extend val="0"/>
        <outline val="0"/>
        <shadow val="0"/>
        <u val="none"/>
        <vertAlign val="baseline"/>
        <sz val="14"/>
        <color theme="1"/>
        <name val="Aptos Narrow"/>
        <scheme val="minor"/>
      </font>
      <numFmt numFmtId="0" formatCode="General"/>
      <alignment horizontal="general" vertical="bottom" textRotation="0" wrapText="0" indent="0" justifyLastLine="0" shrinkToFit="0" readingOrder="0"/>
    </dxf>
    <dxf>
      <font>
        <strike val="0"/>
        <outline val="0"/>
        <shadow val="0"/>
        <u val="none"/>
        <vertAlign val="baseline"/>
        <sz val="14"/>
        <name val="Aptos Narrow"/>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alignment horizontal="general" vertical="bottom" textRotation="0" wrapText="0"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numFmt numFmtId="0" formatCode="General"/>
      <alignment horizontal="general" vertical="bottom" textRotation="0" wrapText="0" indent="0" justifyLastLine="0" shrinkToFit="0" readingOrder="0"/>
    </dxf>
    <dxf>
      <font>
        <strike val="0"/>
        <outline val="0"/>
        <shadow val="0"/>
        <u val="none"/>
        <vertAlign val="baseline"/>
        <sz val="14"/>
        <name val="Aptos Narrow"/>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numFmt numFmtId="0" formatCode="General"/>
      <alignment horizontal="general" vertical="bottom" textRotation="0" wrapText="1"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numFmt numFmtId="0" formatCode="General"/>
      <alignment horizontal="general" vertical="bottom" textRotation="0" wrapText="1" indent="0" justifyLastLine="0" shrinkToFit="0" readingOrder="0"/>
    </dxf>
    <dxf>
      <font>
        <strike val="0"/>
        <outline val="0"/>
        <shadow val="0"/>
        <u val="none"/>
        <vertAlign val="baseline"/>
        <sz val="14"/>
        <name val="Aptos Narrow"/>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4"/>
        <color theme="1"/>
        <name val="Aptos Narrow"/>
        <scheme val="minor"/>
      </font>
      <numFmt numFmtId="0" formatCode="General"/>
      <alignment horizontal="general" vertical="bottom" textRotation="0" wrapText="1" indent="0" justifyLastLine="0" shrinkToFit="0" readingOrder="0"/>
    </dxf>
    <dxf>
      <font>
        <strike val="0"/>
        <outline val="0"/>
        <shadow val="0"/>
        <u val="none"/>
        <vertAlign val="baseline"/>
        <sz val="14"/>
        <name val="Aptos Narrow"/>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4"/>
        <color theme="1"/>
        <name val="Aptos Narrow"/>
        <scheme val="minor"/>
      </font>
      <numFmt numFmtId="0" formatCode="General"/>
      <alignment horizontal="general" vertical="bottom" textRotation="0" wrapText="1" indent="0" justifyLastLine="0" shrinkToFit="0" readingOrder="0"/>
    </dxf>
    <dxf>
      <font>
        <strike val="0"/>
        <outline val="0"/>
        <shadow val="0"/>
        <u val="none"/>
        <vertAlign val="baseline"/>
        <sz val="14"/>
        <name val="Aptos Narrow"/>
        <scheme val="minor"/>
      </font>
      <numFmt numFmtId="0" formatCode="General"/>
      <alignment horizontal="general" vertical="bottom" textRotation="0" wrapText="1" indent="0" justifyLastLine="0" shrinkToFit="0" readingOrder="0"/>
    </dxf>
    <dxf>
      <font>
        <strike val="0"/>
        <outline val="0"/>
        <shadow val="0"/>
        <u val="none"/>
        <vertAlign val="baseline"/>
        <sz val="14"/>
        <name val="Aptos Narrow"/>
        <scheme val="minor"/>
      </font>
      <alignment horizontal="general" vertical="bottom" textRotation="0" wrapText="0" indent="0" justifyLastLine="0" shrinkToFit="0" readingOrder="0"/>
    </dxf>
    <dxf>
      <font>
        <strike val="0"/>
        <outline val="0"/>
        <shadow val="0"/>
        <u val="none"/>
        <vertAlign val="baseline"/>
        <sz val="14"/>
        <color theme="0"/>
        <name val="Aptos Narrow"/>
        <scheme val="minor"/>
      </font>
      <fill>
        <patternFill patternType="solid">
          <fgColor indexed="64"/>
          <bgColor rgb="FF00633B"/>
        </patternFill>
      </fill>
    </dxf>
  </dxfs>
  <tableStyles count="0" defaultTableStyle="TableStyleMedium2" defaultPivotStyle="PivotStyleLight16"/>
  <colors>
    <mruColors>
      <color rgb="FF00633B"/>
      <color rgb="FF00804C"/>
      <color rgb="FF939393"/>
      <color rgb="FF00804D"/>
      <color rgb="FF007244"/>
      <color rgb="FF009F5F"/>
      <color rgb="FFCBA2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t>Average Calories by Beverage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2'!$V$23:$V$32</c:f>
              <c:numCache>
                <c:formatCode>General</c:formatCode>
                <c:ptCount val="10"/>
                <c:pt idx="0">
                  <c:v>282.22222222222223</c:v>
                </c:pt>
                <c:pt idx="1">
                  <c:v>276.94444444444446</c:v>
                </c:pt>
                <c:pt idx="2">
                  <c:v>250</c:v>
                </c:pt>
                <c:pt idx="3">
                  <c:v>250</c:v>
                </c:pt>
                <c:pt idx="4">
                  <c:v>233.07692307692307</c:v>
                </c:pt>
                <c:pt idx="5">
                  <c:v>177.30769230769232</c:v>
                </c:pt>
                <c:pt idx="6">
                  <c:v>162.5</c:v>
                </c:pt>
                <c:pt idx="7">
                  <c:v>140.17241379310346</c:v>
                </c:pt>
                <c:pt idx="8">
                  <c:v>114.44444444444444</c:v>
                </c:pt>
                <c:pt idx="9">
                  <c:v>4.25</c:v>
                </c:pt>
              </c:numCache>
            </c:numRef>
          </c:val>
          <c:extLst>
            <c:ext xmlns:c16="http://schemas.microsoft.com/office/drawing/2014/chart" uri="{C3380CC4-5D6E-409C-BE32-E72D297353CC}">
              <c16:uniqueId val="{00000000-186E-6846-BA20-2D459346F631}"/>
            </c:ext>
          </c:extLst>
        </c:ser>
        <c:dLbls>
          <c:showLegendKey val="0"/>
          <c:showVal val="0"/>
          <c:showCatName val="0"/>
          <c:showSerName val="0"/>
          <c:showPercent val="0"/>
          <c:showBubbleSize val="0"/>
        </c:dLbls>
        <c:gapWidth val="100"/>
        <c:axId val="1196581183"/>
        <c:axId val="1196573119"/>
      </c:barChart>
      <c:catAx>
        <c:axId val="1196581183"/>
        <c:scaling>
          <c:orientation val="minMax"/>
        </c:scaling>
        <c:delete val="0"/>
        <c:axPos val="l"/>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i="1"/>
                  <a:t>BEVERAGE CATEGORY</a:t>
                </a:r>
              </a:p>
            </c:rich>
          </c:tx>
          <c:overlay val="0"/>
          <c:spPr>
            <a:no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96573119"/>
        <c:crosses val="autoZero"/>
        <c:auto val="1"/>
        <c:lblAlgn val="ctr"/>
        <c:lblOffset val="100"/>
        <c:noMultiLvlLbl val="0"/>
      </c:catAx>
      <c:valAx>
        <c:axId val="1196573119"/>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i="1"/>
                  <a:t>AVERAGE CALORIES (KCAL)</a:t>
                </a:r>
              </a:p>
            </c:rich>
          </c:tx>
          <c:overlay val="0"/>
          <c:spPr>
            <a:no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9658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sz="1000" b="1">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t>Menu Item 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3">
                      <a:shade val="42000"/>
                      <a:satMod val="103000"/>
                      <a:lumMod val="102000"/>
                      <a:tint val="94000"/>
                    </a:schemeClr>
                  </a:gs>
                  <a:gs pos="50000">
                    <a:schemeClr val="accent3">
                      <a:shade val="42000"/>
                      <a:satMod val="110000"/>
                      <a:lumMod val="100000"/>
                      <a:shade val="100000"/>
                    </a:schemeClr>
                  </a:gs>
                  <a:gs pos="100000">
                    <a:schemeClr val="accent3">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76F-CD45-AC53-039ECF782427}"/>
              </c:ext>
            </c:extLst>
          </c:dPt>
          <c:dPt>
            <c:idx val="1"/>
            <c:bubble3D val="0"/>
            <c:spPr>
              <a:gradFill rotWithShape="1">
                <a:gsLst>
                  <a:gs pos="0">
                    <a:schemeClr val="accent3">
                      <a:shade val="55000"/>
                      <a:satMod val="103000"/>
                      <a:lumMod val="102000"/>
                      <a:tint val="94000"/>
                    </a:schemeClr>
                  </a:gs>
                  <a:gs pos="50000">
                    <a:schemeClr val="accent3">
                      <a:shade val="55000"/>
                      <a:satMod val="110000"/>
                      <a:lumMod val="100000"/>
                      <a:shade val="100000"/>
                    </a:schemeClr>
                  </a:gs>
                  <a:gs pos="100000">
                    <a:schemeClr val="accent3">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76F-CD45-AC53-039ECF782427}"/>
              </c:ext>
            </c:extLst>
          </c:dPt>
          <c:dPt>
            <c:idx val="2"/>
            <c:bubble3D val="0"/>
            <c:spPr>
              <a:gradFill rotWithShape="1">
                <a:gsLst>
                  <a:gs pos="0">
                    <a:schemeClr val="accent3">
                      <a:shade val="68000"/>
                      <a:satMod val="103000"/>
                      <a:lumMod val="102000"/>
                      <a:tint val="94000"/>
                    </a:schemeClr>
                  </a:gs>
                  <a:gs pos="50000">
                    <a:schemeClr val="accent3">
                      <a:shade val="68000"/>
                      <a:satMod val="110000"/>
                      <a:lumMod val="100000"/>
                      <a:shade val="100000"/>
                    </a:schemeClr>
                  </a:gs>
                  <a:gs pos="100000">
                    <a:schemeClr val="accent3">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76F-CD45-AC53-039ECF782427}"/>
              </c:ext>
            </c:extLst>
          </c:dPt>
          <c:dPt>
            <c:idx val="3"/>
            <c:bubble3D val="0"/>
            <c:spPr>
              <a:gradFill rotWithShape="1">
                <a:gsLst>
                  <a:gs pos="0">
                    <a:schemeClr val="accent3">
                      <a:shade val="80000"/>
                      <a:satMod val="103000"/>
                      <a:lumMod val="102000"/>
                      <a:tint val="94000"/>
                    </a:schemeClr>
                  </a:gs>
                  <a:gs pos="50000">
                    <a:schemeClr val="accent3">
                      <a:shade val="80000"/>
                      <a:satMod val="110000"/>
                      <a:lumMod val="100000"/>
                      <a:shade val="100000"/>
                    </a:schemeClr>
                  </a:gs>
                  <a:gs pos="100000">
                    <a:schemeClr val="accent3">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76F-CD45-AC53-039ECF782427}"/>
              </c:ext>
            </c:extLst>
          </c:dPt>
          <c:dPt>
            <c:idx val="4"/>
            <c:bubble3D val="0"/>
            <c:spPr>
              <a:gradFill rotWithShape="1">
                <a:gsLst>
                  <a:gs pos="0">
                    <a:schemeClr val="accent3">
                      <a:shade val="93000"/>
                      <a:satMod val="103000"/>
                      <a:lumMod val="102000"/>
                      <a:tint val="94000"/>
                    </a:schemeClr>
                  </a:gs>
                  <a:gs pos="50000">
                    <a:schemeClr val="accent3">
                      <a:shade val="93000"/>
                      <a:satMod val="110000"/>
                      <a:lumMod val="100000"/>
                      <a:shade val="100000"/>
                    </a:schemeClr>
                  </a:gs>
                  <a:gs pos="100000">
                    <a:schemeClr val="accent3">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76F-CD45-AC53-039ECF782427}"/>
              </c:ext>
            </c:extLst>
          </c:dPt>
          <c:dPt>
            <c:idx val="5"/>
            <c:bubble3D val="0"/>
            <c:spPr>
              <a:gradFill rotWithShape="1">
                <a:gsLst>
                  <a:gs pos="0">
                    <a:schemeClr val="accent3">
                      <a:tint val="94000"/>
                      <a:satMod val="103000"/>
                      <a:lumMod val="102000"/>
                      <a:tint val="94000"/>
                    </a:schemeClr>
                  </a:gs>
                  <a:gs pos="50000">
                    <a:schemeClr val="accent3">
                      <a:tint val="94000"/>
                      <a:satMod val="110000"/>
                      <a:lumMod val="100000"/>
                      <a:shade val="100000"/>
                    </a:schemeClr>
                  </a:gs>
                  <a:gs pos="100000">
                    <a:schemeClr val="accent3">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76F-CD45-AC53-039ECF782427}"/>
              </c:ext>
            </c:extLst>
          </c:dPt>
          <c:dPt>
            <c:idx val="6"/>
            <c:bubble3D val="0"/>
            <c:spPr>
              <a:gradFill rotWithShape="1">
                <a:gsLst>
                  <a:gs pos="0">
                    <a:schemeClr val="accent3">
                      <a:tint val="81000"/>
                      <a:satMod val="103000"/>
                      <a:lumMod val="102000"/>
                      <a:tint val="94000"/>
                    </a:schemeClr>
                  </a:gs>
                  <a:gs pos="50000">
                    <a:schemeClr val="accent3">
                      <a:tint val="81000"/>
                      <a:satMod val="110000"/>
                      <a:lumMod val="100000"/>
                      <a:shade val="100000"/>
                    </a:schemeClr>
                  </a:gs>
                  <a:gs pos="100000">
                    <a:schemeClr val="accent3">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76F-CD45-AC53-039ECF782427}"/>
              </c:ext>
            </c:extLst>
          </c:dPt>
          <c:dPt>
            <c:idx val="7"/>
            <c:bubble3D val="0"/>
            <c:spPr>
              <a:gradFill rotWithShape="1">
                <a:gsLst>
                  <a:gs pos="0">
                    <a:schemeClr val="accent3">
                      <a:tint val="69000"/>
                      <a:satMod val="103000"/>
                      <a:lumMod val="102000"/>
                      <a:tint val="94000"/>
                    </a:schemeClr>
                  </a:gs>
                  <a:gs pos="50000">
                    <a:schemeClr val="accent3">
                      <a:tint val="69000"/>
                      <a:satMod val="110000"/>
                      <a:lumMod val="100000"/>
                      <a:shade val="100000"/>
                    </a:schemeClr>
                  </a:gs>
                  <a:gs pos="100000">
                    <a:schemeClr val="accent3">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76F-CD45-AC53-039ECF782427}"/>
              </c:ext>
            </c:extLst>
          </c:dPt>
          <c:dPt>
            <c:idx val="8"/>
            <c:bubble3D val="0"/>
            <c:spPr>
              <a:gradFill rotWithShape="1">
                <a:gsLst>
                  <a:gs pos="0">
                    <a:schemeClr val="accent3">
                      <a:tint val="56000"/>
                      <a:satMod val="103000"/>
                      <a:lumMod val="102000"/>
                      <a:tint val="94000"/>
                    </a:schemeClr>
                  </a:gs>
                  <a:gs pos="50000">
                    <a:schemeClr val="accent3">
                      <a:tint val="56000"/>
                      <a:satMod val="110000"/>
                      <a:lumMod val="100000"/>
                      <a:shade val="100000"/>
                    </a:schemeClr>
                  </a:gs>
                  <a:gs pos="100000">
                    <a:schemeClr val="accent3">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76F-CD45-AC53-039ECF782427}"/>
              </c:ext>
            </c:extLst>
          </c:dPt>
          <c:dPt>
            <c:idx val="9"/>
            <c:bubble3D val="0"/>
            <c:spPr>
              <a:gradFill rotWithShape="1">
                <a:gsLst>
                  <a:gs pos="0">
                    <a:schemeClr val="accent3">
                      <a:tint val="43000"/>
                      <a:satMod val="103000"/>
                      <a:lumMod val="102000"/>
                      <a:tint val="94000"/>
                    </a:schemeClr>
                  </a:gs>
                  <a:gs pos="50000">
                    <a:schemeClr val="accent3">
                      <a:tint val="43000"/>
                      <a:satMod val="110000"/>
                      <a:lumMod val="100000"/>
                      <a:shade val="100000"/>
                    </a:schemeClr>
                  </a:gs>
                  <a:gs pos="100000">
                    <a:schemeClr val="accent3">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76F-CD45-AC53-039ECF78242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2'!$Z$23:$Z$32</c:f>
              <c:numCache>
                <c:formatCode>General</c:formatCode>
                <c:ptCount val="10"/>
                <c:pt idx="0">
                  <c:v>9</c:v>
                </c:pt>
                <c:pt idx="1">
                  <c:v>36</c:v>
                </c:pt>
                <c:pt idx="2">
                  <c:v>40</c:v>
                </c:pt>
                <c:pt idx="3">
                  <c:v>40</c:v>
                </c:pt>
                <c:pt idx="4">
                  <c:v>13</c:v>
                </c:pt>
                <c:pt idx="5">
                  <c:v>52</c:v>
                </c:pt>
                <c:pt idx="6">
                  <c:v>12</c:v>
                </c:pt>
                <c:pt idx="7">
                  <c:v>58</c:v>
                </c:pt>
                <c:pt idx="8">
                  <c:v>18</c:v>
                </c:pt>
                <c:pt idx="9">
                  <c:v>4</c:v>
                </c:pt>
              </c:numCache>
            </c:numRef>
          </c:val>
          <c:extLst>
            <c:ext xmlns:c16="http://schemas.microsoft.com/office/drawing/2014/chart" uri="{C3380CC4-5D6E-409C-BE32-E72D297353CC}">
              <c16:uniqueId val="{00000014-A76F-CD45-AC53-039ECF782427}"/>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sz="1000">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t>Average Caffeine Content by Category (mg)</a:t>
            </a:r>
            <a:endParaRPr lang="en-US" sz="1600"/>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2'!$X$23:$X$32</c:f>
              <c:numCache>
                <c:formatCode>General</c:formatCode>
                <c:ptCount val="10"/>
                <c:pt idx="0">
                  <c:v>5.625</c:v>
                </c:pt>
                <c:pt idx="1">
                  <c:v>101.80555555555556</c:v>
                </c:pt>
                <c:pt idx="2">
                  <c:v>73.875</c:v>
                </c:pt>
                <c:pt idx="3">
                  <c:v>73.875</c:v>
                </c:pt>
                <c:pt idx="4">
                  <c:v>0</c:v>
                </c:pt>
                <c:pt idx="5">
                  <c:v>50.416666666666664</c:v>
                </c:pt>
                <c:pt idx="6">
                  <c:v>99.583333333333329</c:v>
                </c:pt>
                <c:pt idx="7">
                  <c:v>73.875</c:v>
                </c:pt>
                <c:pt idx="8">
                  <c:v>134.61538461538461</c:v>
                </c:pt>
                <c:pt idx="9">
                  <c:v>293.75</c:v>
                </c:pt>
              </c:numCache>
            </c:numRef>
          </c:val>
          <c:extLst>
            <c:ext xmlns:c16="http://schemas.microsoft.com/office/drawing/2014/chart" uri="{C3380CC4-5D6E-409C-BE32-E72D297353CC}">
              <c16:uniqueId val="{00000000-A65D-B947-8D70-7F63ED3B0001}"/>
            </c:ext>
          </c:extLst>
        </c:ser>
        <c:dLbls>
          <c:dLblPos val="outEnd"/>
          <c:showLegendKey val="0"/>
          <c:showVal val="1"/>
          <c:showCatName val="0"/>
          <c:showSerName val="0"/>
          <c:showPercent val="0"/>
          <c:showBubbleSize val="0"/>
        </c:dLbls>
        <c:gapWidth val="219"/>
        <c:overlap val="-27"/>
        <c:axId val="1311645119"/>
        <c:axId val="1311642431"/>
      </c:barChart>
      <c:catAx>
        <c:axId val="13116451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1" u="none" strike="noStrike" kern="1200" cap="all" baseline="0">
                    <a:solidFill>
                      <a:sysClr val="windowText" lastClr="000000"/>
                    </a:solidFill>
                  </a:rPr>
                  <a:t>Beverage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1642431"/>
        <c:crosses val="autoZero"/>
        <c:auto val="1"/>
        <c:lblAlgn val="ctr"/>
        <c:lblOffset val="100"/>
        <c:noMultiLvlLbl val="0"/>
      </c:catAx>
      <c:valAx>
        <c:axId val="1311642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1" u="none" strike="noStrike" kern="1200" cap="all" baseline="0">
                    <a:solidFill>
                      <a:sysClr val="windowText" lastClr="000000"/>
                    </a:solidFill>
                  </a:rPr>
                  <a:t>Average </a:t>
                </a:r>
                <a:r>
                  <a:rPr lang="en-US" sz="1000" b="1" i="0" u="none" strike="noStrike" kern="1200" baseline="0">
                    <a:solidFill>
                      <a:sysClr val="windowText" lastClr="000000"/>
                    </a:solidFill>
                  </a:rPr>
                  <a:t>CAFFEINE</a:t>
                </a:r>
                <a:r>
                  <a:rPr lang="en-US" sz="1000" b="1" i="1" u="none" strike="noStrike" kern="1200" cap="all" baseline="0">
                    <a:solidFill>
                      <a:sysClr val="windowText" lastClr="000000"/>
                    </a:solidFill>
                  </a:rPr>
                  <a:t> (Mg)</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164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r>
              <a:rPr lang="en-US" sz="1600"/>
              <a:t>Average Sugar Content by Category (g)</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2'!$W$23:$W$32</c:f>
              <c:numCache>
                <c:formatCode>General</c:formatCode>
                <c:ptCount val="10"/>
                <c:pt idx="0">
                  <c:v>36.777777777777779</c:v>
                </c:pt>
                <c:pt idx="1">
                  <c:v>57.083333333333336</c:v>
                </c:pt>
                <c:pt idx="2">
                  <c:v>38.6</c:v>
                </c:pt>
                <c:pt idx="3">
                  <c:v>38.6</c:v>
                </c:pt>
                <c:pt idx="4">
                  <c:v>48.46153846153846</c:v>
                </c:pt>
                <c:pt idx="5">
                  <c:v>30.307692307692307</c:v>
                </c:pt>
                <c:pt idx="6">
                  <c:v>32.416666666666664</c:v>
                </c:pt>
                <c:pt idx="7">
                  <c:v>16.96551724137931</c:v>
                </c:pt>
                <c:pt idx="8">
                  <c:v>26</c:v>
                </c:pt>
                <c:pt idx="9">
                  <c:v>0</c:v>
                </c:pt>
              </c:numCache>
            </c:numRef>
          </c:val>
          <c:extLst>
            <c:ext xmlns:c16="http://schemas.microsoft.com/office/drawing/2014/chart" uri="{C3380CC4-5D6E-409C-BE32-E72D297353CC}">
              <c16:uniqueId val="{00000000-5238-0A4D-8E67-07DADB34BE77}"/>
            </c:ext>
          </c:extLst>
        </c:ser>
        <c:dLbls>
          <c:dLblPos val="outEnd"/>
          <c:showLegendKey val="0"/>
          <c:showVal val="1"/>
          <c:showCatName val="0"/>
          <c:showSerName val="0"/>
          <c:showPercent val="0"/>
          <c:showBubbleSize val="0"/>
        </c:dLbls>
        <c:gapWidth val="355"/>
        <c:overlap val="-70"/>
        <c:axId val="1173564799"/>
        <c:axId val="1173554943"/>
      </c:barChart>
      <c:catAx>
        <c:axId val="1173564799"/>
        <c:scaling>
          <c:orientation val="minMax"/>
        </c:scaling>
        <c:delete val="0"/>
        <c:axPos val="b"/>
        <c:title>
          <c:tx>
            <c:rich>
              <a:bodyPr rot="0" spcFirstLastPara="1" vertOverflow="ellipsis" vert="horz" wrap="square" anchor="ctr" anchorCtr="1"/>
              <a:lstStyle/>
              <a:p>
                <a:pPr>
                  <a:defRPr sz="1000" b="1" i="1" u="none" strike="noStrike" kern="1200" cap="all" baseline="0">
                    <a:solidFill>
                      <a:schemeClr val="tx1"/>
                    </a:solidFill>
                    <a:latin typeface="+mn-lt"/>
                    <a:ea typeface="+mn-ea"/>
                    <a:cs typeface="+mn-cs"/>
                  </a:defRPr>
                </a:pPr>
                <a:r>
                  <a:rPr lang="en-US" i="1"/>
                  <a:t>Beverage </a:t>
                </a:r>
              </a:p>
            </c:rich>
          </c:tx>
          <c:overlay val="0"/>
          <c:spPr>
            <a:noFill/>
            <a:ln>
              <a:noFill/>
            </a:ln>
            <a:effectLst/>
          </c:spPr>
          <c:txPr>
            <a:bodyPr rot="0" spcFirstLastPara="1" vertOverflow="ellipsis" vert="horz" wrap="square" anchor="ctr" anchorCtr="1"/>
            <a:lstStyle/>
            <a:p>
              <a:pPr>
                <a:defRPr sz="1000" b="1" i="1"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73554943"/>
        <c:crosses val="autoZero"/>
        <c:auto val="1"/>
        <c:lblAlgn val="ctr"/>
        <c:lblOffset val="100"/>
        <c:noMultiLvlLbl val="0"/>
      </c:catAx>
      <c:valAx>
        <c:axId val="117355494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1000" b="1" i="1" u="none" strike="noStrike" kern="1200" cap="all" baseline="0">
                    <a:solidFill>
                      <a:schemeClr val="tx1"/>
                    </a:solidFill>
                    <a:latin typeface="+mn-lt"/>
                    <a:ea typeface="+mn-ea"/>
                    <a:cs typeface="+mn-cs"/>
                  </a:defRPr>
                </a:pPr>
                <a:r>
                  <a:rPr lang="en-US" i="1"/>
                  <a:t>Average Sugar (g)</a:t>
                </a:r>
              </a:p>
            </c:rich>
          </c:tx>
          <c:overlay val="0"/>
          <c:spPr>
            <a:noFill/>
            <a:ln>
              <a:noFill/>
            </a:ln>
            <a:effectLst/>
          </c:spPr>
          <c:txPr>
            <a:bodyPr rot="-5400000" spcFirstLastPara="1" vertOverflow="ellipsis" vert="horz" wrap="square" anchor="ctr" anchorCtr="1"/>
            <a:lstStyle/>
            <a:p>
              <a:pPr>
                <a:defRPr sz="1000" b="1" i="1"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7356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sz="1000" b="1">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a:t>Top 10 Highest Calorie Beverages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2'!$V$37:$V$46</c:f>
              <c:strCache>
                <c:ptCount val="10"/>
                <c:pt idx="0">
                  <c:v>White Chocolate Mocha (Without Whipped Cream)</c:v>
                </c:pt>
                <c:pt idx="1">
                  <c:v>White Chocolate Mocha (Without Whipped Cream)</c:v>
                </c:pt>
                <c:pt idx="2">
                  <c:v>Java Chip (Without Whipped Cream)</c:v>
                </c:pt>
                <c:pt idx="3">
                  <c:v>White Chocolate Mocha (Without Whipped Cream)</c:v>
                </c:pt>
                <c:pt idx="4">
                  <c:v>Tazo® Green Tea Latte</c:v>
                </c:pt>
                <c:pt idx="5">
                  <c:v>Java Chip (Without Whipped Cream)</c:v>
                </c:pt>
                <c:pt idx="6">
                  <c:v>Java Chip (Without Whipped Cream)</c:v>
                </c:pt>
                <c:pt idx="7">
                  <c:v>White Chocolate Mocha (Without Whipped Cream)</c:v>
                </c:pt>
                <c:pt idx="8">
                  <c:v>Tazo® Green Tea Latte</c:v>
                </c:pt>
                <c:pt idx="9">
                  <c:v>Mocha (Without Whipped Cream)</c:v>
                </c:pt>
              </c:strCache>
            </c:strRef>
          </c:cat>
          <c:val>
            <c:numRef>
              <c:f>'Task 2'!$W$37:$W$46</c:f>
              <c:numCache>
                <c:formatCode>General</c:formatCode>
                <c:ptCount val="10"/>
                <c:pt idx="0">
                  <c:v>510</c:v>
                </c:pt>
                <c:pt idx="1">
                  <c:v>460</c:v>
                </c:pt>
                <c:pt idx="2">
                  <c:v>460</c:v>
                </c:pt>
                <c:pt idx="3">
                  <c:v>450</c:v>
                </c:pt>
                <c:pt idx="4">
                  <c:v>450</c:v>
                </c:pt>
                <c:pt idx="5">
                  <c:v>430</c:v>
                </c:pt>
                <c:pt idx="6">
                  <c:v>420</c:v>
                </c:pt>
                <c:pt idx="7">
                  <c:v>400</c:v>
                </c:pt>
                <c:pt idx="8">
                  <c:v>390</c:v>
                </c:pt>
                <c:pt idx="9">
                  <c:v>390</c:v>
                </c:pt>
              </c:numCache>
            </c:numRef>
          </c:val>
          <c:extLst>
            <c:ext xmlns:c16="http://schemas.microsoft.com/office/drawing/2014/chart" uri="{C3380CC4-5D6E-409C-BE32-E72D297353CC}">
              <c16:uniqueId val="{00000000-5FC0-4C48-BC4A-1186508E3661}"/>
            </c:ext>
          </c:extLst>
        </c:ser>
        <c:dLbls>
          <c:dLblPos val="outEnd"/>
          <c:showLegendKey val="0"/>
          <c:showVal val="1"/>
          <c:showCatName val="0"/>
          <c:showSerName val="0"/>
          <c:showPercent val="0"/>
          <c:showBubbleSize val="0"/>
        </c:dLbls>
        <c:gapWidth val="182"/>
        <c:axId val="1074651903"/>
        <c:axId val="1074646079"/>
      </c:barChart>
      <c:catAx>
        <c:axId val="10746519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1" u="none" strike="noStrike" kern="1200" cap="all" baseline="0">
                    <a:solidFill>
                      <a:sysClr val="windowText" lastClr="000000"/>
                    </a:solidFill>
                  </a:rPr>
                  <a:t>Beverage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4646079"/>
        <c:crosses val="autoZero"/>
        <c:auto val="1"/>
        <c:lblAlgn val="ctr"/>
        <c:lblOffset val="100"/>
        <c:noMultiLvlLbl val="0"/>
      </c:catAx>
      <c:valAx>
        <c:axId val="1074646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CALORIES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465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t>Average Calories by Beverage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2'!$V$23:$V$32</c:f>
              <c:numCache>
                <c:formatCode>General</c:formatCode>
                <c:ptCount val="10"/>
                <c:pt idx="0">
                  <c:v>282.22222222222223</c:v>
                </c:pt>
                <c:pt idx="1">
                  <c:v>276.94444444444446</c:v>
                </c:pt>
                <c:pt idx="2">
                  <c:v>250</c:v>
                </c:pt>
                <c:pt idx="3">
                  <c:v>250</c:v>
                </c:pt>
                <c:pt idx="4">
                  <c:v>233.07692307692307</c:v>
                </c:pt>
                <c:pt idx="5">
                  <c:v>177.30769230769232</c:v>
                </c:pt>
                <c:pt idx="6">
                  <c:v>162.5</c:v>
                </c:pt>
                <c:pt idx="7">
                  <c:v>140.17241379310346</c:v>
                </c:pt>
                <c:pt idx="8">
                  <c:v>114.44444444444444</c:v>
                </c:pt>
                <c:pt idx="9">
                  <c:v>4.25</c:v>
                </c:pt>
              </c:numCache>
            </c:numRef>
          </c:val>
          <c:extLst>
            <c:ext xmlns:c16="http://schemas.microsoft.com/office/drawing/2014/chart" uri="{C3380CC4-5D6E-409C-BE32-E72D297353CC}">
              <c16:uniqueId val="{00000000-6477-7249-B135-2CF6232E0C5B}"/>
            </c:ext>
          </c:extLst>
        </c:ser>
        <c:dLbls>
          <c:showLegendKey val="0"/>
          <c:showVal val="0"/>
          <c:showCatName val="0"/>
          <c:showSerName val="0"/>
          <c:showPercent val="0"/>
          <c:showBubbleSize val="0"/>
        </c:dLbls>
        <c:gapWidth val="100"/>
        <c:axId val="1196581183"/>
        <c:axId val="1196573119"/>
      </c:barChart>
      <c:catAx>
        <c:axId val="1196581183"/>
        <c:scaling>
          <c:orientation val="minMax"/>
        </c:scaling>
        <c:delete val="0"/>
        <c:axPos val="l"/>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i="1"/>
                  <a:t>Beverage Category</a:t>
                </a:r>
              </a:p>
            </c:rich>
          </c:tx>
          <c:overlay val="0"/>
          <c:spPr>
            <a:no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96573119"/>
        <c:crosses val="autoZero"/>
        <c:auto val="1"/>
        <c:lblAlgn val="ctr"/>
        <c:lblOffset val="100"/>
        <c:noMultiLvlLbl val="0"/>
      </c:catAx>
      <c:valAx>
        <c:axId val="1196573119"/>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i="1"/>
                  <a:t>Average Calories (kcal)</a:t>
                </a:r>
              </a:p>
            </c:rich>
          </c:tx>
          <c:overlay val="0"/>
          <c:spPr>
            <a:no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9658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76200" dist="38100" dir="2700000" sx="101000" sy="101000" algn="tl" rotWithShape="0">
        <a:schemeClr val="bg2">
          <a:lumMod val="50000"/>
          <a:alpha val="40000"/>
        </a:schemeClr>
      </a:outerShdw>
    </a:effectLst>
  </c:spPr>
  <c:txPr>
    <a:bodyPr/>
    <a:lstStyle/>
    <a:p>
      <a:pPr>
        <a:defRPr sz="1000" b="1">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r>
              <a:rPr lang="en-US" sz="1600"/>
              <a:t>Average Sugar Content by Category (g)</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2'!$W$23:$W$32</c:f>
              <c:numCache>
                <c:formatCode>General</c:formatCode>
                <c:ptCount val="10"/>
                <c:pt idx="0">
                  <c:v>36.777777777777779</c:v>
                </c:pt>
                <c:pt idx="1">
                  <c:v>57.083333333333336</c:v>
                </c:pt>
                <c:pt idx="2">
                  <c:v>38.6</c:v>
                </c:pt>
                <c:pt idx="3">
                  <c:v>38.6</c:v>
                </c:pt>
                <c:pt idx="4">
                  <c:v>48.46153846153846</c:v>
                </c:pt>
                <c:pt idx="5">
                  <c:v>30.307692307692307</c:v>
                </c:pt>
                <c:pt idx="6">
                  <c:v>32.416666666666664</c:v>
                </c:pt>
                <c:pt idx="7">
                  <c:v>16.96551724137931</c:v>
                </c:pt>
                <c:pt idx="8">
                  <c:v>26</c:v>
                </c:pt>
                <c:pt idx="9">
                  <c:v>0</c:v>
                </c:pt>
              </c:numCache>
            </c:numRef>
          </c:val>
          <c:extLst>
            <c:ext xmlns:c16="http://schemas.microsoft.com/office/drawing/2014/chart" uri="{C3380CC4-5D6E-409C-BE32-E72D297353CC}">
              <c16:uniqueId val="{00000000-4F31-944C-9B83-88B3B1EBF9A8}"/>
            </c:ext>
          </c:extLst>
        </c:ser>
        <c:dLbls>
          <c:dLblPos val="outEnd"/>
          <c:showLegendKey val="0"/>
          <c:showVal val="1"/>
          <c:showCatName val="0"/>
          <c:showSerName val="0"/>
          <c:showPercent val="0"/>
          <c:showBubbleSize val="0"/>
        </c:dLbls>
        <c:gapWidth val="355"/>
        <c:overlap val="-70"/>
        <c:axId val="1173564799"/>
        <c:axId val="1173554943"/>
      </c:barChart>
      <c:catAx>
        <c:axId val="1173564799"/>
        <c:scaling>
          <c:orientation val="minMax"/>
        </c:scaling>
        <c:delete val="0"/>
        <c:axPos val="b"/>
        <c:title>
          <c:tx>
            <c:rich>
              <a:bodyPr rot="0" spcFirstLastPara="1" vertOverflow="ellipsis" vert="horz" wrap="square" anchor="ctr" anchorCtr="1"/>
              <a:lstStyle/>
              <a:p>
                <a:pPr>
                  <a:defRPr sz="1000" b="1" i="1" u="none" strike="noStrike" kern="1200" cap="all" baseline="0">
                    <a:solidFill>
                      <a:schemeClr val="tx1"/>
                    </a:solidFill>
                    <a:latin typeface="+mn-lt"/>
                    <a:ea typeface="+mn-ea"/>
                    <a:cs typeface="+mn-cs"/>
                  </a:defRPr>
                </a:pPr>
                <a:r>
                  <a:rPr lang="en-US" i="1"/>
                  <a:t>Beverage </a:t>
                </a:r>
              </a:p>
            </c:rich>
          </c:tx>
          <c:overlay val="0"/>
          <c:spPr>
            <a:noFill/>
            <a:ln>
              <a:noFill/>
            </a:ln>
            <a:effectLst/>
          </c:spPr>
          <c:txPr>
            <a:bodyPr rot="0" spcFirstLastPara="1" vertOverflow="ellipsis" vert="horz" wrap="square" anchor="ctr" anchorCtr="1"/>
            <a:lstStyle/>
            <a:p>
              <a:pPr>
                <a:defRPr sz="1000" b="1" i="1"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73554943"/>
        <c:crosses val="autoZero"/>
        <c:auto val="1"/>
        <c:lblAlgn val="ctr"/>
        <c:lblOffset val="100"/>
        <c:noMultiLvlLbl val="0"/>
      </c:catAx>
      <c:valAx>
        <c:axId val="117355494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1000" b="1" i="1" u="none" strike="noStrike" kern="1200" cap="all" baseline="0">
                    <a:solidFill>
                      <a:schemeClr val="tx1"/>
                    </a:solidFill>
                    <a:latin typeface="+mn-lt"/>
                    <a:ea typeface="+mn-ea"/>
                    <a:cs typeface="+mn-cs"/>
                  </a:defRPr>
                </a:pPr>
                <a:r>
                  <a:rPr lang="en-US" i="1"/>
                  <a:t>Average Sugar (g)</a:t>
                </a:r>
              </a:p>
            </c:rich>
          </c:tx>
          <c:overlay val="0"/>
          <c:spPr>
            <a:noFill/>
            <a:ln>
              <a:noFill/>
            </a:ln>
            <a:effectLst/>
          </c:spPr>
          <c:txPr>
            <a:bodyPr rot="-5400000" spcFirstLastPara="1" vertOverflow="ellipsis" vert="horz" wrap="square" anchor="ctr" anchorCtr="1"/>
            <a:lstStyle/>
            <a:p>
              <a:pPr>
                <a:defRPr sz="1000" b="1" i="1"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7356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81426" dist="38100" dir="2700000" sx="101000" sy="101000" algn="tl" rotWithShape="0">
        <a:schemeClr val="bg2">
          <a:lumMod val="50000"/>
          <a:alpha val="40000"/>
        </a:schemeClr>
      </a:outerShdw>
    </a:effectLst>
  </c:spPr>
  <c:txPr>
    <a:bodyPr/>
    <a:lstStyle/>
    <a:p>
      <a:pPr>
        <a:defRPr sz="1000" b="1">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t>Menu Item 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3">
                      <a:shade val="42000"/>
                      <a:satMod val="103000"/>
                      <a:lumMod val="102000"/>
                      <a:tint val="94000"/>
                    </a:schemeClr>
                  </a:gs>
                  <a:gs pos="50000">
                    <a:schemeClr val="accent3">
                      <a:shade val="42000"/>
                      <a:satMod val="110000"/>
                      <a:lumMod val="100000"/>
                      <a:shade val="100000"/>
                    </a:schemeClr>
                  </a:gs>
                  <a:gs pos="100000">
                    <a:schemeClr val="accent3">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420-4547-AC0C-D0D5592BCE23}"/>
              </c:ext>
            </c:extLst>
          </c:dPt>
          <c:dPt>
            <c:idx val="1"/>
            <c:bubble3D val="0"/>
            <c:spPr>
              <a:gradFill rotWithShape="1">
                <a:gsLst>
                  <a:gs pos="0">
                    <a:schemeClr val="accent3">
                      <a:shade val="55000"/>
                      <a:satMod val="103000"/>
                      <a:lumMod val="102000"/>
                      <a:tint val="94000"/>
                    </a:schemeClr>
                  </a:gs>
                  <a:gs pos="50000">
                    <a:schemeClr val="accent3">
                      <a:shade val="55000"/>
                      <a:satMod val="110000"/>
                      <a:lumMod val="100000"/>
                      <a:shade val="100000"/>
                    </a:schemeClr>
                  </a:gs>
                  <a:gs pos="100000">
                    <a:schemeClr val="accent3">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420-4547-AC0C-D0D5592BCE23}"/>
              </c:ext>
            </c:extLst>
          </c:dPt>
          <c:dPt>
            <c:idx val="2"/>
            <c:bubble3D val="0"/>
            <c:spPr>
              <a:gradFill rotWithShape="1">
                <a:gsLst>
                  <a:gs pos="0">
                    <a:schemeClr val="accent3">
                      <a:shade val="68000"/>
                      <a:satMod val="103000"/>
                      <a:lumMod val="102000"/>
                      <a:tint val="94000"/>
                    </a:schemeClr>
                  </a:gs>
                  <a:gs pos="50000">
                    <a:schemeClr val="accent3">
                      <a:shade val="68000"/>
                      <a:satMod val="110000"/>
                      <a:lumMod val="100000"/>
                      <a:shade val="100000"/>
                    </a:schemeClr>
                  </a:gs>
                  <a:gs pos="100000">
                    <a:schemeClr val="accent3">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420-4547-AC0C-D0D5592BCE23}"/>
              </c:ext>
            </c:extLst>
          </c:dPt>
          <c:dPt>
            <c:idx val="3"/>
            <c:bubble3D val="0"/>
            <c:spPr>
              <a:gradFill rotWithShape="1">
                <a:gsLst>
                  <a:gs pos="0">
                    <a:schemeClr val="accent3">
                      <a:shade val="80000"/>
                      <a:satMod val="103000"/>
                      <a:lumMod val="102000"/>
                      <a:tint val="94000"/>
                    </a:schemeClr>
                  </a:gs>
                  <a:gs pos="50000">
                    <a:schemeClr val="accent3">
                      <a:shade val="80000"/>
                      <a:satMod val="110000"/>
                      <a:lumMod val="100000"/>
                      <a:shade val="100000"/>
                    </a:schemeClr>
                  </a:gs>
                  <a:gs pos="100000">
                    <a:schemeClr val="accent3">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420-4547-AC0C-D0D5592BCE23}"/>
              </c:ext>
            </c:extLst>
          </c:dPt>
          <c:dPt>
            <c:idx val="4"/>
            <c:bubble3D val="0"/>
            <c:spPr>
              <a:gradFill rotWithShape="1">
                <a:gsLst>
                  <a:gs pos="0">
                    <a:schemeClr val="accent3">
                      <a:shade val="93000"/>
                      <a:satMod val="103000"/>
                      <a:lumMod val="102000"/>
                      <a:tint val="94000"/>
                    </a:schemeClr>
                  </a:gs>
                  <a:gs pos="50000">
                    <a:schemeClr val="accent3">
                      <a:shade val="93000"/>
                      <a:satMod val="110000"/>
                      <a:lumMod val="100000"/>
                      <a:shade val="100000"/>
                    </a:schemeClr>
                  </a:gs>
                  <a:gs pos="100000">
                    <a:schemeClr val="accent3">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420-4547-AC0C-D0D5592BCE23}"/>
              </c:ext>
            </c:extLst>
          </c:dPt>
          <c:dPt>
            <c:idx val="5"/>
            <c:bubble3D val="0"/>
            <c:spPr>
              <a:gradFill rotWithShape="1">
                <a:gsLst>
                  <a:gs pos="0">
                    <a:schemeClr val="accent3">
                      <a:tint val="94000"/>
                      <a:satMod val="103000"/>
                      <a:lumMod val="102000"/>
                      <a:tint val="94000"/>
                    </a:schemeClr>
                  </a:gs>
                  <a:gs pos="50000">
                    <a:schemeClr val="accent3">
                      <a:tint val="94000"/>
                      <a:satMod val="110000"/>
                      <a:lumMod val="100000"/>
                      <a:shade val="100000"/>
                    </a:schemeClr>
                  </a:gs>
                  <a:gs pos="100000">
                    <a:schemeClr val="accent3">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420-4547-AC0C-D0D5592BCE23}"/>
              </c:ext>
            </c:extLst>
          </c:dPt>
          <c:dPt>
            <c:idx val="6"/>
            <c:bubble3D val="0"/>
            <c:spPr>
              <a:gradFill rotWithShape="1">
                <a:gsLst>
                  <a:gs pos="0">
                    <a:schemeClr val="accent3">
                      <a:tint val="81000"/>
                      <a:satMod val="103000"/>
                      <a:lumMod val="102000"/>
                      <a:tint val="94000"/>
                    </a:schemeClr>
                  </a:gs>
                  <a:gs pos="50000">
                    <a:schemeClr val="accent3">
                      <a:tint val="81000"/>
                      <a:satMod val="110000"/>
                      <a:lumMod val="100000"/>
                      <a:shade val="100000"/>
                    </a:schemeClr>
                  </a:gs>
                  <a:gs pos="100000">
                    <a:schemeClr val="accent3">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420-4547-AC0C-D0D5592BCE23}"/>
              </c:ext>
            </c:extLst>
          </c:dPt>
          <c:dPt>
            <c:idx val="7"/>
            <c:bubble3D val="0"/>
            <c:spPr>
              <a:gradFill rotWithShape="1">
                <a:gsLst>
                  <a:gs pos="0">
                    <a:schemeClr val="accent3">
                      <a:tint val="69000"/>
                      <a:satMod val="103000"/>
                      <a:lumMod val="102000"/>
                      <a:tint val="94000"/>
                    </a:schemeClr>
                  </a:gs>
                  <a:gs pos="50000">
                    <a:schemeClr val="accent3">
                      <a:tint val="69000"/>
                      <a:satMod val="110000"/>
                      <a:lumMod val="100000"/>
                      <a:shade val="100000"/>
                    </a:schemeClr>
                  </a:gs>
                  <a:gs pos="100000">
                    <a:schemeClr val="accent3">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420-4547-AC0C-D0D5592BCE23}"/>
              </c:ext>
            </c:extLst>
          </c:dPt>
          <c:dPt>
            <c:idx val="8"/>
            <c:bubble3D val="0"/>
            <c:spPr>
              <a:gradFill rotWithShape="1">
                <a:gsLst>
                  <a:gs pos="0">
                    <a:schemeClr val="accent3">
                      <a:tint val="56000"/>
                      <a:satMod val="103000"/>
                      <a:lumMod val="102000"/>
                      <a:tint val="94000"/>
                    </a:schemeClr>
                  </a:gs>
                  <a:gs pos="50000">
                    <a:schemeClr val="accent3">
                      <a:tint val="56000"/>
                      <a:satMod val="110000"/>
                      <a:lumMod val="100000"/>
                      <a:shade val="100000"/>
                    </a:schemeClr>
                  </a:gs>
                  <a:gs pos="100000">
                    <a:schemeClr val="accent3">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420-4547-AC0C-D0D5592BCE23}"/>
              </c:ext>
            </c:extLst>
          </c:dPt>
          <c:dPt>
            <c:idx val="9"/>
            <c:bubble3D val="0"/>
            <c:spPr>
              <a:gradFill rotWithShape="1">
                <a:gsLst>
                  <a:gs pos="0">
                    <a:schemeClr val="accent3">
                      <a:tint val="43000"/>
                      <a:satMod val="103000"/>
                      <a:lumMod val="102000"/>
                      <a:tint val="94000"/>
                    </a:schemeClr>
                  </a:gs>
                  <a:gs pos="50000">
                    <a:schemeClr val="accent3">
                      <a:tint val="43000"/>
                      <a:satMod val="110000"/>
                      <a:lumMod val="100000"/>
                      <a:shade val="100000"/>
                    </a:schemeClr>
                  </a:gs>
                  <a:gs pos="100000">
                    <a:schemeClr val="accent3">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420-4547-AC0C-D0D5592BCE2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2'!$Z$23:$Z$32</c:f>
              <c:numCache>
                <c:formatCode>General</c:formatCode>
                <c:ptCount val="10"/>
                <c:pt idx="0">
                  <c:v>9</c:v>
                </c:pt>
                <c:pt idx="1">
                  <c:v>36</c:v>
                </c:pt>
                <c:pt idx="2">
                  <c:v>40</c:v>
                </c:pt>
                <c:pt idx="3">
                  <c:v>40</c:v>
                </c:pt>
                <c:pt idx="4">
                  <c:v>13</c:v>
                </c:pt>
                <c:pt idx="5">
                  <c:v>52</c:v>
                </c:pt>
                <c:pt idx="6">
                  <c:v>12</c:v>
                </c:pt>
                <c:pt idx="7">
                  <c:v>58</c:v>
                </c:pt>
                <c:pt idx="8">
                  <c:v>18</c:v>
                </c:pt>
                <c:pt idx="9">
                  <c:v>4</c:v>
                </c:pt>
              </c:numCache>
            </c:numRef>
          </c:val>
          <c:extLst>
            <c:ext xmlns:c16="http://schemas.microsoft.com/office/drawing/2014/chart" uri="{C3380CC4-5D6E-409C-BE32-E72D297353CC}">
              <c16:uniqueId val="{00000000-D852-4245-8BB6-2E8AC5717B15}"/>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76200" dist="38100" dir="2700000" sx="101000" sy="101000" algn="tl" rotWithShape="0">
        <a:schemeClr val="bg2">
          <a:lumMod val="50000"/>
          <a:alpha val="40000"/>
        </a:schemeClr>
      </a:outerShdw>
    </a:effectLst>
  </c:spPr>
  <c:txPr>
    <a:bodyPr/>
    <a:lstStyle/>
    <a:p>
      <a:pPr>
        <a:defRPr sz="1000">
          <a:solidFill>
            <a:schemeClr val="tx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t>Average Caffeine Content by Category (mg)</a:t>
            </a:r>
            <a:endParaRPr lang="en-US" sz="1600"/>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2'!$X$23:$X$32</c:f>
              <c:numCache>
                <c:formatCode>General</c:formatCode>
                <c:ptCount val="10"/>
                <c:pt idx="0">
                  <c:v>5.625</c:v>
                </c:pt>
                <c:pt idx="1">
                  <c:v>101.80555555555556</c:v>
                </c:pt>
                <c:pt idx="2">
                  <c:v>73.875</c:v>
                </c:pt>
                <c:pt idx="3">
                  <c:v>73.875</c:v>
                </c:pt>
                <c:pt idx="4">
                  <c:v>0</c:v>
                </c:pt>
                <c:pt idx="5">
                  <c:v>50.416666666666664</c:v>
                </c:pt>
                <c:pt idx="6">
                  <c:v>99.583333333333329</c:v>
                </c:pt>
                <c:pt idx="7">
                  <c:v>73.875</c:v>
                </c:pt>
                <c:pt idx="8">
                  <c:v>134.61538461538461</c:v>
                </c:pt>
                <c:pt idx="9">
                  <c:v>293.75</c:v>
                </c:pt>
              </c:numCache>
            </c:numRef>
          </c:val>
          <c:extLst>
            <c:ext xmlns:c16="http://schemas.microsoft.com/office/drawing/2014/chart" uri="{C3380CC4-5D6E-409C-BE32-E72D297353CC}">
              <c16:uniqueId val="{00000000-F683-3B49-8607-DC0666ECD723}"/>
            </c:ext>
          </c:extLst>
        </c:ser>
        <c:dLbls>
          <c:dLblPos val="outEnd"/>
          <c:showLegendKey val="0"/>
          <c:showVal val="1"/>
          <c:showCatName val="0"/>
          <c:showSerName val="0"/>
          <c:showPercent val="0"/>
          <c:showBubbleSize val="0"/>
        </c:dLbls>
        <c:gapWidth val="219"/>
        <c:overlap val="-27"/>
        <c:axId val="1311645119"/>
        <c:axId val="1311642431"/>
      </c:barChart>
      <c:catAx>
        <c:axId val="13116451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1" u="none" strike="noStrike" kern="1200" cap="all" baseline="0">
                    <a:solidFill>
                      <a:sysClr val="windowText" lastClr="000000"/>
                    </a:solidFill>
                  </a:rPr>
                  <a:t>Beverage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1642431"/>
        <c:crosses val="autoZero"/>
        <c:auto val="1"/>
        <c:lblAlgn val="ctr"/>
        <c:lblOffset val="100"/>
        <c:noMultiLvlLbl val="0"/>
      </c:catAx>
      <c:valAx>
        <c:axId val="1311642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1" u="none" strike="noStrike" kern="1200" cap="all" baseline="0">
                    <a:solidFill>
                      <a:sysClr val="windowText" lastClr="000000"/>
                    </a:solidFill>
                  </a:rPr>
                  <a:t>Average </a:t>
                </a:r>
                <a:r>
                  <a:rPr lang="en-US" sz="1000" b="1" i="0" u="none" strike="noStrike" kern="1200" baseline="0">
                    <a:solidFill>
                      <a:sysClr val="windowText" lastClr="000000"/>
                    </a:solidFill>
                  </a:rPr>
                  <a:t>CAFFEINE</a:t>
                </a:r>
                <a:r>
                  <a:rPr lang="en-US" sz="1000" b="1" i="1" u="none" strike="noStrike" kern="1200" cap="all" baseline="0">
                    <a:solidFill>
                      <a:sysClr val="windowText" lastClr="000000"/>
                    </a:solidFill>
                  </a:rPr>
                  <a:t> (Mg)</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164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76200" dist="38100" dir="2700000" sx="101000" sy="101000" algn="tl" rotWithShape="0">
        <a:schemeClr val="bg2">
          <a:lumMod val="50000"/>
          <a:alpha val="40000"/>
        </a:schemeClr>
      </a:outerShdw>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a:t>Top 10 Highest Calorie Beverages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2'!$V$37:$V$46</c:f>
              <c:strCache>
                <c:ptCount val="10"/>
                <c:pt idx="0">
                  <c:v>White Chocolate Mocha (Without Whipped Cream)</c:v>
                </c:pt>
                <c:pt idx="1">
                  <c:v>White Chocolate Mocha (Without Whipped Cream)</c:v>
                </c:pt>
                <c:pt idx="2">
                  <c:v>Java Chip (Without Whipped Cream)</c:v>
                </c:pt>
                <c:pt idx="3">
                  <c:v>White Chocolate Mocha (Without Whipped Cream)</c:v>
                </c:pt>
                <c:pt idx="4">
                  <c:v>Tazo® Green Tea Latte</c:v>
                </c:pt>
                <c:pt idx="5">
                  <c:v>Java Chip (Without Whipped Cream)</c:v>
                </c:pt>
                <c:pt idx="6">
                  <c:v>Java Chip (Without Whipped Cream)</c:v>
                </c:pt>
                <c:pt idx="7">
                  <c:v>White Chocolate Mocha (Without Whipped Cream)</c:v>
                </c:pt>
                <c:pt idx="8">
                  <c:v>Tazo® Green Tea Latte</c:v>
                </c:pt>
                <c:pt idx="9">
                  <c:v>Mocha (Without Whipped Cream)</c:v>
                </c:pt>
              </c:strCache>
            </c:strRef>
          </c:cat>
          <c:val>
            <c:numRef>
              <c:f>'Task 2'!$W$37:$W$46</c:f>
              <c:numCache>
                <c:formatCode>General</c:formatCode>
                <c:ptCount val="10"/>
                <c:pt idx="0">
                  <c:v>510</c:v>
                </c:pt>
                <c:pt idx="1">
                  <c:v>460</c:v>
                </c:pt>
                <c:pt idx="2">
                  <c:v>460</c:v>
                </c:pt>
                <c:pt idx="3">
                  <c:v>450</c:v>
                </c:pt>
                <c:pt idx="4">
                  <c:v>450</c:v>
                </c:pt>
                <c:pt idx="5">
                  <c:v>430</c:v>
                </c:pt>
                <c:pt idx="6">
                  <c:v>420</c:v>
                </c:pt>
                <c:pt idx="7">
                  <c:v>400</c:v>
                </c:pt>
                <c:pt idx="8">
                  <c:v>390</c:v>
                </c:pt>
                <c:pt idx="9">
                  <c:v>390</c:v>
                </c:pt>
              </c:numCache>
            </c:numRef>
          </c:val>
          <c:extLst>
            <c:ext xmlns:c16="http://schemas.microsoft.com/office/drawing/2014/chart" uri="{C3380CC4-5D6E-409C-BE32-E72D297353CC}">
              <c16:uniqueId val="{00000000-FADE-1D4E-91EC-5485E1853C30}"/>
            </c:ext>
          </c:extLst>
        </c:ser>
        <c:dLbls>
          <c:dLblPos val="outEnd"/>
          <c:showLegendKey val="0"/>
          <c:showVal val="1"/>
          <c:showCatName val="0"/>
          <c:showSerName val="0"/>
          <c:showPercent val="0"/>
          <c:showBubbleSize val="0"/>
        </c:dLbls>
        <c:gapWidth val="182"/>
        <c:axId val="1074651903"/>
        <c:axId val="1074646079"/>
      </c:barChart>
      <c:catAx>
        <c:axId val="10746519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1" u="none" strike="noStrike" kern="1200" cap="all" baseline="0">
                    <a:solidFill>
                      <a:sysClr val="windowText" lastClr="000000"/>
                    </a:solidFill>
                  </a:rPr>
                  <a:t>Beverage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4646079"/>
        <c:crosses val="autoZero"/>
        <c:auto val="1"/>
        <c:lblAlgn val="ctr"/>
        <c:lblOffset val="100"/>
        <c:noMultiLvlLbl val="0"/>
      </c:catAx>
      <c:valAx>
        <c:axId val="1074646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CALORIES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465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76200" dist="38100" dir="2700000" sx="101000" sy="101000" algn="tl"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t>Average Calories by Beverage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2'!$V$23:$V$32</c:f>
              <c:numCache>
                <c:formatCode>General</c:formatCode>
                <c:ptCount val="10"/>
                <c:pt idx="0">
                  <c:v>282.22222222222223</c:v>
                </c:pt>
                <c:pt idx="1">
                  <c:v>276.94444444444446</c:v>
                </c:pt>
                <c:pt idx="2">
                  <c:v>250</c:v>
                </c:pt>
                <c:pt idx="3">
                  <c:v>250</c:v>
                </c:pt>
                <c:pt idx="4">
                  <c:v>233.07692307692307</c:v>
                </c:pt>
                <c:pt idx="5">
                  <c:v>177.30769230769232</c:v>
                </c:pt>
                <c:pt idx="6">
                  <c:v>162.5</c:v>
                </c:pt>
                <c:pt idx="7">
                  <c:v>140.17241379310346</c:v>
                </c:pt>
                <c:pt idx="8">
                  <c:v>114.44444444444444</c:v>
                </c:pt>
                <c:pt idx="9">
                  <c:v>4.25</c:v>
                </c:pt>
              </c:numCache>
            </c:numRef>
          </c:val>
          <c:extLst>
            <c:ext xmlns:c16="http://schemas.microsoft.com/office/drawing/2014/chart" uri="{C3380CC4-5D6E-409C-BE32-E72D297353CC}">
              <c16:uniqueId val="{00000000-3ADB-5048-901C-235898464E63}"/>
            </c:ext>
          </c:extLst>
        </c:ser>
        <c:dLbls>
          <c:showLegendKey val="0"/>
          <c:showVal val="0"/>
          <c:showCatName val="0"/>
          <c:showSerName val="0"/>
          <c:showPercent val="0"/>
          <c:showBubbleSize val="0"/>
        </c:dLbls>
        <c:gapWidth val="100"/>
        <c:axId val="1196581183"/>
        <c:axId val="1196573119"/>
      </c:barChart>
      <c:catAx>
        <c:axId val="1196581183"/>
        <c:scaling>
          <c:orientation val="minMax"/>
        </c:scaling>
        <c:delete val="0"/>
        <c:axPos val="l"/>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i="1"/>
                  <a:t>Beverage Category</a:t>
                </a:r>
              </a:p>
            </c:rich>
          </c:tx>
          <c:overlay val="0"/>
          <c:spPr>
            <a:no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96573119"/>
        <c:crosses val="autoZero"/>
        <c:auto val="1"/>
        <c:lblAlgn val="ctr"/>
        <c:lblOffset val="100"/>
        <c:noMultiLvlLbl val="0"/>
      </c:catAx>
      <c:valAx>
        <c:axId val="1196573119"/>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i="1"/>
                  <a:t>Average Calories (kcal)</a:t>
                </a:r>
              </a:p>
            </c:rich>
          </c:tx>
          <c:overlay val="0"/>
          <c:spPr>
            <a:no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9658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76200" dist="38100" dir="2700000" sx="101000" sy="101000" algn="tl" rotWithShape="0">
        <a:schemeClr val="bg2">
          <a:lumMod val="50000"/>
          <a:alpha val="40000"/>
        </a:schemeClr>
      </a:outerShdw>
    </a:effectLst>
  </c:spPr>
  <c:txPr>
    <a:bodyPr/>
    <a:lstStyle/>
    <a:p>
      <a:pPr>
        <a:defRPr sz="1000" b="1">
          <a:solidFill>
            <a:schemeClr val="tx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r>
              <a:rPr lang="en-US" sz="1600"/>
              <a:t>Average Sugar Content by Category (g)</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2'!$W$23:$W$32</c:f>
              <c:numCache>
                <c:formatCode>General</c:formatCode>
                <c:ptCount val="10"/>
                <c:pt idx="0">
                  <c:v>36.777777777777779</c:v>
                </c:pt>
                <c:pt idx="1">
                  <c:v>57.083333333333336</c:v>
                </c:pt>
                <c:pt idx="2">
                  <c:v>38.6</c:v>
                </c:pt>
                <c:pt idx="3">
                  <c:v>38.6</c:v>
                </c:pt>
                <c:pt idx="4">
                  <c:v>48.46153846153846</c:v>
                </c:pt>
                <c:pt idx="5">
                  <c:v>30.307692307692307</c:v>
                </c:pt>
                <c:pt idx="6">
                  <c:v>32.416666666666664</c:v>
                </c:pt>
                <c:pt idx="7">
                  <c:v>16.96551724137931</c:v>
                </c:pt>
                <c:pt idx="8">
                  <c:v>26</c:v>
                </c:pt>
                <c:pt idx="9">
                  <c:v>0</c:v>
                </c:pt>
              </c:numCache>
            </c:numRef>
          </c:val>
          <c:extLst>
            <c:ext xmlns:c16="http://schemas.microsoft.com/office/drawing/2014/chart" uri="{C3380CC4-5D6E-409C-BE32-E72D297353CC}">
              <c16:uniqueId val="{00000000-1AD7-5F40-A2D7-1DFE60170C15}"/>
            </c:ext>
          </c:extLst>
        </c:ser>
        <c:dLbls>
          <c:dLblPos val="outEnd"/>
          <c:showLegendKey val="0"/>
          <c:showVal val="1"/>
          <c:showCatName val="0"/>
          <c:showSerName val="0"/>
          <c:showPercent val="0"/>
          <c:showBubbleSize val="0"/>
        </c:dLbls>
        <c:gapWidth val="355"/>
        <c:overlap val="-70"/>
        <c:axId val="1173564799"/>
        <c:axId val="1173554943"/>
      </c:barChart>
      <c:catAx>
        <c:axId val="1173564799"/>
        <c:scaling>
          <c:orientation val="minMax"/>
        </c:scaling>
        <c:delete val="0"/>
        <c:axPos val="b"/>
        <c:title>
          <c:tx>
            <c:rich>
              <a:bodyPr rot="0" spcFirstLastPara="1" vertOverflow="ellipsis" vert="horz" wrap="square" anchor="ctr" anchorCtr="1"/>
              <a:lstStyle/>
              <a:p>
                <a:pPr>
                  <a:defRPr sz="1000" b="1" i="1" u="none" strike="noStrike" kern="1200" cap="all" baseline="0">
                    <a:solidFill>
                      <a:schemeClr val="tx1"/>
                    </a:solidFill>
                    <a:latin typeface="+mn-lt"/>
                    <a:ea typeface="+mn-ea"/>
                    <a:cs typeface="+mn-cs"/>
                  </a:defRPr>
                </a:pPr>
                <a:r>
                  <a:rPr lang="en-US" i="1"/>
                  <a:t>Beverage </a:t>
                </a:r>
              </a:p>
            </c:rich>
          </c:tx>
          <c:overlay val="0"/>
          <c:spPr>
            <a:noFill/>
            <a:ln>
              <a:noFill/>
            </a:ln>
            <a:effectLst/>
          </c:spPr>
          <c:txPr>
            <a:bodyPr rot="0" spcFirstLastPara="1" vertOverflow="ellipsis" vert="horz" wrap="square" anchor="ctr" anchorCtr="1"/>
            <a:lstStyle/>
            <a:p>
              <a:pPr>
                <a:defRPr sz="1000" b="1" i="1"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73554943"/>
        <c:crosses val="autoZero"/>
        <c:auto val="1"/>
        <c:lblAlgn val="ctr"/>
        <c:lblOffset val="100"/>
        <c:noMultiLvlLbl val="0"/>
      </c:catAx>
      <c:valAx>
        <c:axId val="117355494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1000" b="1" i="1" u="none" strike="noStrike" kern="1200" cap="all" baseline="0">
                    <a:solidFill>
                      <a:schemeClr val="tx1"/>
                    </a:solidFill>
                    <a:latin typeface="+mn-lt"/>
                    <a:ea typeface="+mn-ea"/>
                    <a:cs typeface="+mn-cs"/>
                  </a:defRPr>
                </a:pPr>
                <a:r>
                  <a:rPr lang="en-US" i="1"/>
                  <a:t>Average Sugar (g)</a:t>
                </a:r>
              </a:p>
            </c:rich>
          </c:tx>
          <c:overlay val="0"/>
          <c:spPr>
            <a:noFill/>
            <a:ln>
              <a:noFill/>
            </a:ln>
            <a:effectLst/>
          </c:spPr>
          <c:txPr>
            <a:bodyPr rot="-5400000" spcFirstLastPara="1" vertOverflow="ellipsis" vert="horz" wrap="square" anchor="ctr" anchorCtr="1"/>
            <a:lstStyle/>
            <a:p>
              <a:pPr>
                <a:defRPr sz="1000" b="1" i="1"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7356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81426" dist="38100" dir="2700000" sx="101000" sy="101000" algn="tl" rotWithShape="0">
        <a:schemeClr val="bg2">
          <a:lumMod val="50000"/>
          <a:alpha val="40000"/>
        </a:schemeClr>
      </a:outerShdw>
    </a:effectLst>
  </c:spPr>
  <c:txPr>
    <a:bodyPr/>
    <a:lstStyle/>
    <a:p>
      <a:pPr>
        <a:defRPr sz="1000" b="1">
          <a:solidFill>
            <a:schemeClr val="tx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t>Average Caffeine Content by Category (mg)</a:t>
            </a:r>
            <a:endParaRPr lang="en-US" sz="1600"/>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2'!$X$23:$X$32</c:f>
              <c:numCache>
                <c:formatCode>General</c:formatCode>
                <c:ptCount val="10"/>
                <c:pt idx="0">
                  <c:v>5.625</c:v>
                </c:pt>
                <c:pt idx="1">
                  <c:v>101.80555555555556</c:v>
                </c:pt>
                <c:pt idx="2">
                  <c:v>73.875</c:v>
                </c:pt>
                <c:pt idx="3">
                  <c:v>73.875</c:v>
                </c:pt>
                <c:pt idx="4">
                  <c:v>0</c:v>
                </c:pt>
                <c:pt idx="5">
                  <c:v>50.416666666666664</c:v>
                </c:pt>
                <c:pt idx="6">
                  <c:v>99.583333333333329</c:v>
                </c:pt>
                <c:pt idx="7">
                  <c:v>73.875</c:v>
                </c:pt>
                <c:pt idx="8">
                  <c:v>134.61538461538461</c:v>
                </c:pt>
                <c:pt idx="9">
                  <c:v>293.75</c:v>
                </c:pt>
              </c:numCache>
            </c:numRef>
          </c:val>
          <c:extLst>
            <c:ext xmlns:c16="http://schemas.microsoft.com/office/drawing/2014/chart" uri="{C3380CC4-5D6E-409C-BE32-E72D297353CC}">
              <c16:uniqueId val="{00000000-620F-3F4D-9964-2297AF32C290}"/>
            </c:ext>
          </c:extLst>
        </c:ser>
        <c:dLbls>
          <c:dLblPos val="outEnd"/>
          <c:showLegendKey val="0"/>
          <c:showVal val="1"/>
          <c:showCatName val="0"/>
          <c:showSerName val="0"/>
          <c:showPercent val="0"/>
          <c:showBubbleSize val="0"/>
        </c:dLbls>
        <c:gapWidth val="219"/>
        <c:overlap val="-27"/>
        <c:axId val="1311645119"/>
        <c:axId val="1311642431"/>
      </c:barChart>
      <c:catAx>
        <c:axId val="13116451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1" u="none" strike="noStrike" kern="1200" cap="all" baseline="0">
                    <a:solidFill>
                      <a:sysClr val="windowText" lastClr="000000"/>
                    </a:solidFill>
                  </a:rPr>
                  <a:t>Beverage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1642431"/>
        <c:crosses val="autoZero"/>
        <c:auto val="1"/>
        <c:lblAlgn val="ctr"/>
        <c:lblOffset val="100"/>
        <c:noMultiLvlLbl val="0"/>
      </c:catAx>
      <c:valAx>
        <c:axId val="1311642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1" u="none" strike="noStrike" kern="1200" cap="all" baseline="0">
                    <a:solidFill>
                      <a:sysClr val="windowText" lastClr="000000"/>
                    </a:solidFill>
                  </a:rPr>
                  <a:t>Average </a:t>
                </a:r>
                <a:r>
                  <a:rPr lang="en-US" sz="1000" b="1" i="0" u="none" strike="noStrike" kern="1200" baseline="0">
                    <a:solidFill>
                      <a:sysClr val="windowText" lastClr="000000"/>
                    </a:solidFill>
                  </a:rPr>
                  <a:t>CAFFEINE</a:t>
                </a:r>
                <a:r>
                  <a:rPr lang="en-US" sz="1000" b="1" i="1" u="none" strike="noStrike" kern="1200" cap="all" baseline="0">
                    <a:solidFill>
                      <a:sysClr val="windowText" lastClr="000000"/>
                    </a:solidFill>
                  </a:rPr>
                  <a:t> (Mg)</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164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76200" dist="38100" dir="2700000" sx="101000" sy="101000" algn="tl" rotWithShape="0">
        <a:schemeClr val="bg2">
          <a:lumMod val="50000"/>
          <a:alpha val="40000"/>
        </a:schemeClr>
      </a:outerShdw>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a:t>Top 10 Highest Calorie Beverages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63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2'!$V$37:$V$46</c:f>
              <c:strCache>
                <c:ptCount val="10"/>
                <c:pt idx="0">
                  <c:v>White Chocolate Mocha (Without Whipped Cream)</c:v>
                </c:pt>
                <c:pt idx="1">
                  <c:v>White Chocolate Mocha (Without Whipped Cream)</c:v>
                </c:pt>
                <c:pt idx="2">
                  <c:v>Java Chip (Without Whipped Cream)</c:v>
                </c:pt>
                <c:pt idx="3">
                  <c:v>White Chocolate Mocha (Without Whipped Cream)</c:v>
                </c:pt>
                <c:pt idx="4">
                  <c:v>Tazo® Green Tea Latte</c:v>
                </c:pt>
                <c:pt idx="5">
                  <c:v>Java Chip (Without Whipped Cream)</c:v>
                </c:pt>
                <c:pt idx="6">
                  <c:v>Java Chip (Without Whipped Cream)</c:v>
                </c:pt>
                <c:pt idx="7">
                  <c:v>White Chocolate Mocha (Without Whipped Cream)</c:v>
                </c:pt>
                <c:pt idx="8">
                  <c:v>Tazo® Green Tea Latte</c:v>
                </c:pt>
                <c:pt idx="9">
                  <c:v>Mocha (Without Whipped Cream)</c:v>
                </c:pt>
              </c:strCache>
            </c:strRef>
          </c:cat>
          <c:val>
            <c:numRef>
              <c:f>'Task 2'!$W$37:$W$46</c:f>
              <c:numCache>
                <c:formatCode>General</c:formatCode>
                <c:ptCount val="10"/>
                <c:pt idx="0">
                  <c:v>510</c:v>
                </c:pt>
                <c:pt idx="1">
                  <c:v>460</c:v>
                </c:pt>
                <c:pt idx="2">
                  <c:v>460</c:v>
                </c:pt>
                <c:pt idx="3">
                  <c:v>450</c:v>
                </c:pt>
                <c:pt idx="4">
                  <c:v>450</c:v>
                </c:pt>
                <c:pt idx="5">
                  <c:v>430</c:v>
                </c:pt>
                <c:pt idx="6">
                  <c:v>420</c:v>
                </c:pt>
                <c:pt idx="7">
                  <c:v>400</c:v>
                </c:pt>
                <c:pt idx="8">
                  <c:v>390</c:v>
                </c:pt>
                <c:pt idx="9">
                  <c:v>390</c:v>
                </c:pt>
              </c:numCache>
            </c:numRef>
          </c:val>
          <c:extLst>
            <c:ext xmlns:c16="http://schemas.microsoft.com/office/drawing/2014/chart" uri="{C3380CC4-5D6E-409C-BE32-E72D297353CC}">
              <c16:uniqueId val="{00000000-F397-4843-9D3A-313DC582AC02}"/>
            </c:ext>
          </c:extLst>
        </c:ser>
        <c:dLbls>
          <c:dLblPos val="outEnd"/>
          <c:showLegendKey val="0"/>
          <c:showVal val="1"/>
          <c:showCatName val="0"/>
          <c:showSerName val="0"/>
          <c:showPercent val="0"/>
          <c:showBubbleSize val="0"/>
        </c:dLbls>
        <c:gapWidth val="182"/>
        <c:axId val="1074651903"/>
        <c:axId val="1074646079"/>
      </c:barChart>
      <c:catAx>
        <c:axId val="10746519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i="1" u="none" strike="noStrike" kern="1200" cap="all" baseline="0">
                    <a:solidFill>
                      <a:sysClr val="windowText" lastClr="000000"/>
                    </a:solidFill>
                  </a:rPr>
                  <a:t>Beverage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4646079"/>
        <c:crosses val="autoZero"/>
        <c:auto val="1"/>
        <c:lblAlgn val="ctr"/>
        <c:lblOffset val="100"/>
        <c:noMultiLvlLbl val="0"/>
      </c:catAx>
      <c:valAx>
        <c:axId val="1074646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CALORIES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465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76200" dist="38100" dir="2700000" sx="101000" sy="101000" algn="tl"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t>Menu Item 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3">
                      <a:shade val="42000"/>
                      <a:satMod val="103000"/>
                      <a:lumMod val="102000"/>
                      <a:tint val="94000"/>
                    </a:schemeClr>
                  </a:gs>
                  <a:gs pos="50000">
                    <a:schemeClr val="accent3">
                      <a:shade val="42000"/>
                      <a:satMod val="110000"/>
                      <a:lumMod val="100000"/>
                      <a:shade val="100000"/>
                    </a:schemeClr>
                  </a:gs>
                  <a:gs pos="100000">
                    <a:schemeClr val="accent3">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3-614E-8A20-85CD0921D53A}"/>
              </c:ext>
            </c:extLst>
          </c:dPt>
          <c:dPt>
            <c:idx val="1"/>
            <c:bubble3D val="0"/>
            <c:spPr>
              <a:gradFill rotWithShape="1">
                <a:gsLst>
                  <a:gs pos="0">
                    <a:schemeClr val="accent3">
                      <a:shade val="55000"/>
                      <a:satMod val="103000"/>
                      <a:lumMod val="102000"/>
                      <a:tint val="94000"/>
                    </a:schemeClr>
                  </a:gs>
                  <a:gs pos="50000">
                    <a:schemeClr val="accent3">
                      <a:shade val="55000"/>
                      <a:satMod val="110000"/>
                      <a:lumMod val="100000"/>
                      <a:shade val="100000"/>
                    </a:schemeClr>
                  </a:gs>
                  <a:gs pos="100000">
                    <a:schemeClr val="accent3">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3-614E-8A20-85CD0921D53A}"/>
              </c:ext>
            </c:extLst>
          </c:dPt>
          <c:dPt>
            <c:idx val="2"/>
            <c:bubble3D val="0"/>
            <c:spPr>
              <a:gradFill rotWithShape="1">
                <a:gsLst>
                  <a:gs pos="0">
                    <a:schemeClr val="accent3">
                      <a:shade val="68000"/>
                      <a:satMod val="103000"/>
                      <a:lumMod val="102000"/>
                      <a:tint val="94000"/>
                    </a:schemeClr>
                  </a:gs>
                  <a:gs pos="50000">
                    <a:schemeClr val="accent3">
                      <a:shade val="68000"/>
                      <a:satMod val="110000"/>
                      <a:lumMod val="100000"/>
                      <a:shade val="100000"/>
                    </a:schemeClr>
                  </a:gs>
                  <a:gs pos="100000">
                    <a:schemeClr val="accent3">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3-614E-8A20-85CD0921D53A}"/>
              </c:ext>
            </c:extLst>
          </c:dPt>
          <c:dPt>
            <c:idx val="3"/>
            <c:bubble3D val="0"/>
            <c:spPr>
              <a:gradFill rotWithShape="1">
                <a:gsLst>
                  <a:gs pos="0">
                    <a:schemeClr val="accent3">
                      <a:shade val="80000"/>
                      <a:satMod val="103000"/>
                      <a:lumMod val="102000"/>
                      <a:tint val="94000"/>
                    </a:schemeClr>
                  </a:gs>
                  <a:gs pos="50000">
                    <a:schemeClr val="accent3">
                      <a:shade val="80000"/>
                      <a:satMod val="110000"/>
                      <a:lumMod val="100000"/>
                      <a:shade val="100000"/>
                    </a:schemeClr>
                  </a:gs>
                  <a:gs pos="100000">
                    <a:schemeClr val="accent3">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3-614E-8A20-85CD0921D53A}"/>
              </c:ext>
            </c:extLst>
          </c:dPt>
          <c:dPt>
            <c:idx val="4"/>
            <c:bubble3D val="0"/>
            <c:spPr>
              <a:gradFill rotWithShape="1">
                <a:gsLst>
                  <a:gs pos="0">
                    <a:schemeClr val="accent3">
                      <a:shade val="93000"/>
                      <a:satMod val="103000"/>
                      <a:lumMod val="102000"/>
                      <a:tint val="94000"/>
                    </a:schemeClr>
                  </a:gs>
                  <a:gs pos="50000">
                    <a:schemeClr val="accent3">
                      <a:shade val="93000"/>
                      <a:satMod val="110000"/>
                      <a:lumMod val="100000"/>
                      <a:shade val="100000"/>
                    </a:schemeClr>
                  </a:gs>
                  <a:gs pos="100000">
                    <a:schemeClr val="accent3">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3-614E-8A20-85CD0921D53A}"/>
              </c:ext>
            </c:extLst>
          </c:dPt>
          <c:dPt>
            <c:idx val="5"/>
            <c:bubble3D val="0"/>
            <c:spPr>
              <a:gradFill rotWithShape="1">
                <a:gsLst>
                  <a:gs pos="0">
                    <a:schemeClr val="accent3">
                      <a:tint val="94000"/>
                      <a:satMod val="103000"/>
                      <a:lumMod val="102000"/>
                      <a:tint val="94000"/>
                    </a:schemeClr>
                  </a:gs>
                  <a:gs pos="50000">
                    <a:schemeClr val="accent3">
                      <a:tint val="94000"/>
                      <a:satMod val="110000"/>
                      <a:lumMod val="100000"/>
                      <a:shade val="100000"/>
                    </a:schemeClr>
                  </a:gs>
                  <a:gs pos="100000">
                    <a:schemeClr val="accent3">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3-614E-8A20-85CD0921D53A}"/>
              </c:ext>
            </c:extLst>
          </c:dPt>
          <c:dPt>
            <c:idx val="6"/>
            <c:bubble3D val="0"/>
            <c:spPr>
              <a:gradFill rotWithShape="1">
                <a:gsLst>
                  <a:gs pos="0">
                    <a:schemeClr val="accent3">
                      <a:tint val="81000"/>
                      <a:satMod val="103000"/>
                      <a:lumMod val="102000"/>
                      <a:tint val="94000"/>
                    </a:schemeClr>
                  </a:gs>
                  <a:gs pos="50000">
                    <a:schemeClr val="accent3">
                      <a:tint val="81000"/>
                      <a:satMod val="110000"/>
                      <a:lumMod val="100000"/>
                      <a:shade val="100000"/>
                    </a:schemeClr>
                  </a:gs>
                  <a:gs pos="100000">
                    <a:schemeClr val="accent3">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3-614E-8A20-85CD0921D53A}"/>
              </c:ext>
            </c:extLst>
          </c:dPt>
          <c:dPt>
            <c:idx val="7"/>
            <c:bubble3D val="0"/>
            <c:spPr>
              <a:gradFill rotWithShape="1">
                <a:gsLst>
                  <a:gs pos="0">
                    <a:schemeClr val="accent3">
                      <a:tint val="69000"/>
                      <a:satMod val="103000"/>
                      <a:lumMod val="102000"/>
                      <a:tint val="94000"/>
                    </a:schemeClr>
                  </a:gs>
                  <a:gs pos="50000">
                    <a:schemeClr val="accent3">
                      <a:tint val="69000"/>
                      <a:satMod val="110000"/>
                      <a:lumMod val="100000"/>
                      <a:shade val="100000"/>
                    </a:schemeClr>
                  </a:gs>
                  <a:gs pos="100000">
                    <a:schemeClr val="accent3">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3-614E-8A20-85CD0921D53A}"/>
              </c:ext>
            </c:extLst>
          </c:dPt>
          <c:dPt>
            <c:idx val="8"/>
            <c:bubble3D val="0"/>
            <c:spPr>
              <a:gradFill rotWithShape="1">
                <a:gsLst>
                  <a:gs pos="0">
                    <a:schemeClr val="accent3">
                      <a:tint val="56000"/>
                      <a:satMod val="103000"/>
                      <a:lumMod val="102000"/>
                      <a:tint val="94000"/>
                    </a:schemeClr>
                  </a:gs>
                  <a:gs pos="50000">
                    <a:schemeClr val="accent3">
                      <a:tint val="56000"/>
                      <a:satMod val="110000"/>
                      <a:lumMod val="100000"/>
                      <a:shade val="100000"/>
                    </a:schemeClr>
                  </a:gs>
                  <a:gs pos="100000">
                    <a:schemeClr val="accent3">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3-614E-8A20-85CD0921D53A}"/>
              </c:ext>
            </c:extLst>
          </c:dPt>
          <c:dPt>
            <c:idx val="9"/>
            <c:bubble3D val="0"/>
            <c:spPr>
              <a:gradFill rotWithShape="1">
                <a:gsLst>
                  <a:gs pos="0">
                    <a:schemeClr val="accent3">
                      <a:tint val="43000"/>
                      <a:satMod val="103000"/>
                      <a:lumMod val="102000"/>
                      <a:tint val="94000"/>
                    </a:schemeClr>
                  </a:gs>
                  <a:gs pos="50000">
                    <a:schemeClr val="accent3">
                      <a:tint val="43000"/>
                      <a:satMod val="110000"/>
                      <a:lumMod val="100000"/>
                      <a:shade val="100000"/>
                    </a:schemeClr>
                  </a:gs>
                  <a:gs pos="100000">
                    <a:schemeClr val="accent3">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3-614E-8A20-85CD0921D53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 2'!$U$23:$U$32</c:f>
              <c:strCache>
                <c:ptCount val="10"/>
                <c:pt idx="0">
                  <c:v>Smoothies</c:v>
                </c:pt>
                <c:pt idx="1">
                  <c:v>Frappuccino® Blended Coffee</c:v>
                </c:pt>
                <c:pt idx="2">
                  <c:v>Signature Espresso Drinks</c:v>
                </c:pt>
                <c:pt idx="3">
                  <c:v>Signature Espresso Drinks</c:v>
                </c:pt>
                <c:pt idx="4">
                  <c:v>Frappuccino® Blended Crème</c:v>
                </c:pt>
                <c:pt idx="5">
                  <c:v>Tazo® Tea Drinks</c:v>
                </c:pt>
                <c:pt idx="6">
                  <c:v>Frappuccino® Light Blended Coffee</c:v>
                </c:pt>
                <c:pt idx="7">
                  <c:v>Classic Espresso Drinks</c:v>
                </c:pt>
                <c:pt idx="8">
                  <c:v>Shaken Iced Beverages</c:v>
                </c:pt>
                <c:pt idx="9">
                  <c:v>Coffee</c:v>
                </c:pt>
              </c:strCache>
            </c:strRef>
          </c:cat>
          <c:val>
            <c:numRef>
              <c:f>'Task 2'!$Z$23:$Z$32</c:f>
              <c:numCache>
                <c:formatCode>General</c:formatCode>
                <c:ptCount val="10"/>
                <c:pt idx="0">
                  <c:v>9</c:v>
                </c:pt>
                <c:pt idx="1">
                  <c:v>36</c:v>
                </c:pt>
                <c:pt idx="2">
                  <c:v>40</c:v>
                </c:pt>
                <c:pt idx="3">
                  <c:v>40</c:v>
                </c:pt>
                <c:pt idx="4">
                  <c:v>13</c:v>
                </c:pt>
                <c:pt idx="5">
                  <c:v>52</c:v>
                </c:pt>
                <c:pt idx="6">
                  <c:v>12</c:v>
                </c:pt>
                <c:pt idx="7">
                  <c:v>58</c:v>
                </c:pt>
                <c:pt idx="8">
                  <c:v>18</c:v>
                </c:pt>
                <c:pt idx="9">
                  <c:v>4</c:v>
                </c:pt>
              </c:numCache>
            </c:numRef>
          </c:val>
          <c:extLst>
            <c:ext xmlns:c16="http://schemas.microsoft.com/office/drawing/2014/chart" uri="{C3380CC4-5D6E-409C-BE32-E72D297353CC}">
              <c16:uniqueId val="{00000014-BFB3-614E-8A20-85CD0921D53A}"/>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76200" dist="38100" dir="2700000" sx="101000" sy="101000" algn="tl" rotWithShape="0">
        <a:schemeClr val="bg2">
          <a:lumMod val="50000"/>
          <a:alpha val="40000"/>
        </a:schemeClr>
      </a:outerShdw>
    </a:effectLst>
  </c:spPr>
  <c:txPr>
    <a:bodyPr/>
    <a:lstStyle/>
    <a:p>
      <a:pPr>
        <a:defRPr sz="10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0</xdr:rowOff>
    </xdr:from>
    <xdr:to>
      <xdr:col>4</xdr:col>
      <xdr:colOff>1930400</xdr:colOff>
      <xdr:row>40</xdr:row>
      <xdr:rowOff>152400</xdr:rowOff>
    </xdr:to>
    <xdr:graphicFrame macro="">
      <xdr:nvGraphicFramePr>
        <xdr:cNvPr id="2" name="Chart 1">
          <a:extLst>
            <a:ext uri="{FF2B5EF4-FFF2-40B4-BE49-F238E27FC236}">
              <a16:creationId xmlns:a16="http://schemas.microsoft.com/office/drawing/2014/main" id="{1A6786BD-B4E3-FB48-B051-9EBBC8EA5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43</xdr:row>
      <xdr:rowOff>76201</xdr:rowOff>
    </xdr:from>
    <xdr:to>
      <xdr:col>4</xdr:col>
      <xdr:colOff>1955800</xdr:colOff>
      <xdr:row>67</xdr:row>
      <xdr:rowOff>25400</xdr:rowOff>
    </xdr:to>
    <xdr:graphicFrame macro="">
      <xdr:nvGraphicFramePr>
        <xdr:cNvPr id="4" name="Chart 3">
          <a:extLst>
            <a:ext uri="{FF2B5EF4-FFF2-40B4-BE49-F238E27FC236}">
              <a16:creationId xmlns:a16="http://schemas.microsoft.com/office/drawing/2014/main" id="{AEAA8CCE-FB62-6442-ABEC-AE1C4342B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2133600</xdr:colOff>
      <xdr:row>43</xdr:row>
      <xdr:rowOff>76201</xdr:rowOff>
    </xdr:from>
    <xdr:to>
      <xdr:col>7</xdr:col>
      <xdr:colOff>3860800</xdr:colOff>
      <xdr:row>67</xdr:row>
      <xdr:rowOff>0</xdr:rowOff>
    </xdr:to>
    <xdr:graphicFrame macro="">
      <xdr:nvGraphicFramePr>
        <xdr:cNvPr id="5" name="Chart 4">
          <a:extLst>
            <a:ext uri="{FF2B5EF4-FFF2-40B4-BE49-F238E27FC236}">
              <a16:creationId xmlns:a16="http://schemas.microsoft.com/office/drawing/2014/main" id="{B1725937-EAA2-4F4C-96E1-77E80848B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2108200</xdr:colOff>
      <xdr:row>21</xdr:row>
      <xdr:rowOff>0</xdr:rowOff>
    </xdr:from>
    <xdr:to>
      <xdr:col>8</xdr:col>
      <xdr:colOff>0</xdr:colOff>
      <xdr:row>40</xdr:row>
      <xdr:rowOff>152400</xdr:rowOff>
    </xdr:to>
    <xdr:graphicFrame macro="">
      <xdr:nvGraphicFramePr>
        <xdr:cNvPr id="6" name="Chart 5">
          <a:extLst>
            <a:ext uri="{FF2B5EF4-FFF2-40B4-BE49-F238E27FC236}">
              <a16:creationId xmlns:a16="http://schemas.microsoft.com/office/drawing/2014/main" id="{5D429E00-A32D-FD4A-854C-7F18BD4BE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102</xdr:row>
      <xdr:rowOff>0</xdr:rowOff>
    </xdr:from>
    <xdr:to>
      <xdr:col>4</xdr:col>
      <xdr:colOff>2108200</xdr:colOff>
      <xdr:row>124</xdr:row>
      <xdr:rowOff>127000</xdr:rowOff>
    </xdr:to>
    <xdr:graphicFrame macro="">
      <xdr:nvGraphicFramePr>
        <xdr:cNvPr id="8" name="Chart 7">
          <a:extLst>
            <a:ext uri="{FF2B5EF4-FFF2-40B4-BE49-F238E27FC236}">
              <a16:creationId xmlns:a16="http://schemas.microsoft.com/office/drawing/2014/main" id="{FFE20B36-89A3-EB44-BD35-F9AA5B6E2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812799</xdr:colOff>
      <xdr:row>19</xdr:row>
      <xdr:rowOff>223520</xdr:rowOff>
    </xdr:from>
    <xdr:to>
      <xdr:col>42</xdr:col>
      <xdr:colOff>552823</xdr:colOff>
      <xdr:row>32</xdr:row>
      <xdr:rowOff>20320</xdr:rowOff>
    </xdr:to>
    <xdr:graphicFrame macro="">
      <xdr:nvGraphicFramePr>
        <xdr:cNvPr id="9" name="Chart 8">
          <a:extLst>
            <a:ext uri="{FF2B5EF4-FFF2-40B4-BE49-F238E27FC236}">
              <a16:creationId xmlns:a16="http://schemas.microsoft.com/office/drawing/2014/main" id="{5F0F1EC7-1281-4602-D73C-A66BAF3D6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227168</xdr:colOff>
      <xdr:row>33</xdr:row>
      <xdr:rowOff>130932</xdr:rowOff>
    </xdr:from>
    <xdr:to>
      <xdr:col>42</xdr:col>
      <xdr:colOff>596515</xdr:colOff>
      <xdr:row>38</xdr:row>
      <xdr:rowOff>327120</xdr:rowOff>
    </xdr:to>
    <xdr:graphicFrame macro="">
      <xdr:nvGraphicFramePr>
        <xdr:cNvPr id="10" name="Chart 9">
          <a:extLst>
            <a:ext uri="{FF2B5EF4-FFF2-40B4-BE49-F238E27FC236}">
              <a16:creationId xmlns:a16="http://schemas.microsoft.com/office/drawing/2014/main" id="{337A36CB-CF31-F0E5-31CF-75F1874FD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234755</xdr:colOff>
      <xdr:row>38</xdr:row>
      <xdr:rowOff>660401</xdr:rowOff>
    </xdr:from>
    <xdr:to>
      <xdr:col>42</xdr:col>
      <xdr:colOff>829732</xdr:colOff>
      <xdr:row>44</xdr:row>
      <xdr:rowOff>33867</xdr:rowOff>
    </xdr:to>
    <xdr:graphicFrame macro="">
      <xdr:nvGraphicFramePr>
        <xdr:cNvPr id="11" name="Chart 10">
          <a:extLst>
            <a:ext uri="{FF2B5EF4-FFF2-40B4-BE49-F238E27FC236}">
              <a16:creationId xmlns:a16="http://schemas.microsoft.com/office/drawing/2014/main" id="{F8240133-0DF5-B7DB-C80C-57C3ADBB3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749300</xdr:colOff>
      <xdr:row>19</xdr:row>
      <xdr:rowOff>254000</xdr:rowOff>
    </xdr:from>
    <xdr:to>
      <xdr:col>55</xdr:col>
      <xdr:colOff>812800</xdr:colOff>
      <xdr:row>32</xdr:row>
      <xdr:rowOff>0</xdr:rowOff>
    </xdr:to>
    <xdr:graphicFrame macro="">
      <xdr:nvGraphicFramePr>
        <xdr:cNvPr id="12" name="Chart 11">
          <a:extLst>
            <a:ext uri="{FF2B5EF4-FFF2-40B4-BE49-F238E27FC236}">
              <a16:creationId xmlns:a16="http://schemas.microsoft.com/office/drawing/2014/main" id="{64EEBF28-4776-CB3F-BEEE-D9AAFD463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127000</xdr:colOff>
      <xdr:row>45</xdr:row>
      <xdr:rowOff>342900</xdr:rowOff>
    </xdr:from>
    <xdr:to>
      <xdr:col>43</xdr:col>
      <xdr:colOff>177800</xdr:colOff>
      <xdr:row>60</xdr:row>
      <xdr:rowOff>120952</xdr:rowOff>
    </xdr:to>
    <xdr:graphicFrame macro="">
      <xdr:nvGraphicFramePr>
        <xdr:cNvPr id="13" name="Chart 12">
          <a:extLst>
            <a:ext uri="{FF2B5EF4-FFF2-40B4-BE49-F238E27FC236}">
              <a16:creationId xmlns:a16="http://schemas.microsoft.com/office/drawing/2014/main" id="{8F4921B5-1B48-7002-EDC3-BACCF3D79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63501</xdr:colOff>
      <xdr:row>4</xdr:row>
      <xdr:rowOff>0</xdr:rowOff>
    </xdr:from>
    <xdr:to>
      <xdr:col>1</xdr:col>
      <xdr:colOff>5778501</xdr:colOff>
      <xdr:row>25</xdr:row>
      <xdr:rowOff>25400</xdr:rowOff>
    </xdr:to>
    <xdr:graphicFrame macro="">
      <xdr:nvGraphicFramePr>
        <xdr:cNvPr id="2" name="Chart 1">
          <a:extLst>
            <a:ext uri="{FF2B5EF4-FFF2-40B4-BE49-F238E27FC236}">
              <a16:creationId xmlns:a16="http://schemas.microsoft.com/office/drawing/2014/main" id="{638E05BA-0EF5-3944-9D22-02AF44B92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110435</xdr:colOff>
      <xdr:row>74</xdr:row>
      <xdr:rowOff>4779</xdr:rowOff>
    </xdr:from>
    <xdr:to>
      <xdr:col>1</xdr:col>
      <xdr:colOff>5799667</xdr:colOff>
      <xdr:row>93</xdr:row>
      <xdr:rowOff>165652</xdr:rowOff>
    </xdr:to>
    <xdr:graphicFrame macro="">
      <xdr:nvGraphicFramePr>
        <xdr:cNvPr id="3" name="Chart 2">
          <a:extLst>
            <a:ext uri="{FF2B5EF4-FFF2-40B4-BE49-F238E27FC236}">
              <a16:creationId xmlns:a16="http://schemas.microsoft.com/office/drawing/2014/main" id="{F42DA86C-FCE1-B140-AA77-A4DC4AD7D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76201</xdr:colOff>
      <xdr:row>27</xdr:row>
      <xdr:rowOff>157481</xdr:rowOff>
    </xdr:from>
    <xdr:to>
      <xdr:col>1</xdr:col>
      <xdr:colOff>5778501</xdr:colOff>
      <xdr:row>48</xdr:row>
      <xdr:rowOff>152401</xdr:rowOff>
    </xdr:to>
    <xdr:graphicFrame macro="">
      <xdr:nvGraphicFramePr>
        <xdr:cNvPr id="5" name="Chart 4">
          <a:extLst>
            <a:ext uri="{FF2B5EF4-FFF2-40B4-BE49-F238E27FC236}">
              <a16:creationId xmlns:a16="http://schemas.microsoft.com/office/drawing/2014/main" id="{A3E2A903-93DB-9543-9DDE-4696A466D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237068</xdr:colOff>
      <xdr:row>97</xdr:row>
      <xdr:rowOff>110914</xdr:rowOff>
    </xdr:from>
    <xdr:to>
      <xdr:col>1</xdr:col>
      <xdr:colOff>5775476</xdr:colOff>
      <xdr:row>118</xdr:row>
      <xdr:rowOff>42334</xdr:rowOff>
    </xdr:to>
    <xdr:graphicFrame macro="">
      <xdr:nvGraphicFramePr>
        <xdr:cNvPr id="6" name="Chart 5">
          <a:extLst>
            <a:ext uri="{FF2B5EF4-FFF2-40B4-BE49-F238E27FC236}">
              <a16:creationId xmlns:a16="http://schemas.microsoft.com/office/drawing/2014/main" id="{9747F9C6-1701-204D-BD02-628068253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80433</xdr:colOff>
      <xdr:row>52</xdr:row>
      <xdr:rowOff>55036</xdr:rowOff>
    </xdr:from>
    <xdr:to>
      <xdr:col>1</xdr:col>
      <xdr:colOff>5778500</xdr:colOff>
      <xdr:row>71</xdr:row>
      <xdr:rowOff>36813</xdr:rowOff>
    </xdr:to>
    <xdr:graphicFrame macro="">
      <xdr:nvGraphicFramePr>
        <xdr:cNvPr id="7" name="Chart 6">
          <a:extLst>
            <a:ext uri="{FF2B5EF4-FFF2-40B4-BE49-F238E27FC236}">
              <a16:creationId xmlns:a16="http://schemas.microsoft.com/office/drawing/2014/main" id="{60D3E8F7-74C0-D947-B48C-72755A28F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418B440-34AF-5D49-857A-ED1FDA9EB0E5}" autoFormatId="16" applyNumberFormats="0" applyBorderFormats="0" applyFontFormats="0" applyPatternFormats="0" applyAlignmentFormats="0" applyWidthHeightFormats="0">
  <queryTableRefresh nextId="19">
    <queryTableFields count="18">
      <queryTableField id="1" name="Beverage_category" tableColumnId="1"/>
      <queryTableField id="2" name="Beverage" tableColumnId="2"/>
      <queryTableField id="3" name="Beverage_prep" tableColumnId="3"/>
      <queryTableField id="4" name="Calories" tableColumnId="4"/>
      <queryTableField id="5" name=" Total Fat (g)" tableColumnId="5"/>
      <queryTableField id="6" name="Trans Fat (g) " tableColumnId="6"/>
      <queryTableField id="7" name="Saturated Fat (g)" tableColumnId="7"/>
      <queryTableField id="8" name=" Sodium (mg)" tableColumnId="8"/>
      <queryTableField id="9" name=" Total Carbohydrates (g) " tableColumnId="9"/>
      <queryTableField id="10" name="Cholesterol (mg)" tableColumnId="10"/>
      <queryTableField id="11" name=" Dietary Fibre (g)" tableColumnId="11"/>
      <queryTableField id="12" name=" Sugars (g)" tableColumnId="12"/>
      <queryTableField id="13" name=" Protein (g) " tableColumnId="13"/>
      <queryTableField id="14" name="Vitamin A (% DV) " tableColumnId="14"/>
      <queryTableField id="15" name="Vitamin C (% DV)" tableColumnId="15"/>
      <queryTableField id="16" name=" Calcium (% DV) " tableColumnId="16"/>
      <queryTableField id="17" name="Iron (% DV) " tableColumnId="17"/>
      <queryTableField id="18" name="Caffeine (mg)"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BEFDEB-9AB5-A245-9B32-52808D04123C}" name="starbucks4" displayName="starbucks4" ref="A5:R248" tableType="queryTable" totalsRowCount="1" headerRowDxfId="58" dataDxfId="57">
  <autoFilter ref="A5:R247" xr:uid="{42BEFDEB-9AB5-A245-9B32-52808D04123C}"/>
  <sortState xmlns:xlrd2="http://schemas.microsoft.com/office/spreadsheetml/2017/richdata2" ref="A6:R247">
    <sortCondition ref="A6:A247"/>
  </sortState>
  <tableColumns count="18">
    <tableColumn id="1" xr3:uid="{D9CD75F0-C1ED-5A40-9D71-6391E4B70444}" uniqueName="1" name="Beverage_category" totalsRowFunction="custom" queryTableFieldId="1" dataDxfId="56" totalsRowDxfId="55">
      <totalsRowFormula>COUNTA('Task 2'!A6:A247)</totalsRowFormula>
    </tableColumn>
    <tableColumn id="2" xr3:uid="{29B0A152-77DE-2848-90AD-AC2CBCE8F898}" uniqueName="2" name="Beverage" totalsRowFunction="custom" queryTableFieldId="2" dataDxfId="54" totalsRowDxfId="53">
      <totalsRowFormula>COUNTA('Task 2'!B6:B247)</totalsRowFormula>
    </tableColumn>
    <tableColumn id="3" xr3:uid="{7CD5396F-254C-8544-A7F5-5EB35F711A30}" uniqueName="3" name="Beverage_prep" totalsRowFunction="custom" queryTableFieldId="3" dataDxfId="52" totalsRowDxfId="51">
      <totalsRowFormula>COUNTA('Task 2'!C6:C247)</totalsRowFormula>
    </tableColumn>
    <tableColumn id="4" xr3:uid="{25711C0B-CAAD-A148-A763-F2A778D2722C}" uniqueName="4" name="Calories" totalsRowFunction="custom" queryTableFieldId="4" dataDxfId="50" totalsRowDxfId="49">
      <totalsRowFormula>ROUND(AVERAGE('Task 2'!D6:D247),1)</totalsRowFormula>
    </tableColumn>
    <tableColumn id="5" xr3:uid="{2CD354D6-BC10-2842-8147-50CAC3DADDE5}" uniqueName="5" name=" Total Fat (g)" queryTableFieldId="5" dataDxfId="48" totalsRowDxfId="47"/>
    <tableColumn id="6" xr3:uid="{B4FF2956-C120-BB42-92BA-56A281858B72}" uniqueName="6" name="Trans Fat (g) " queryTableFieldId="6" dataDxfId="46" totalsRowDxfId="45"/>
    <tableColumn id="7" xr3:uid="{3CBCA8B4-1900-8A4E-B307-4D4316FE51D0}" uniqueName="7" name="Saturated Fat (g)" queryTableFieldId="7" dataDxfId="44" totalsRowDxfId="43"/>
    <tableColumn id="8" xr3:uid="{FABA119E-233C-3F4B-BD74-53B4BF09F0CE}" uniqueName="8" name=" Sodium (mg)" queryTableFieldId="8" dataDxfId="42" totalsRowDxfId="41"/>
    <tableColumn id="9" xr3:uid="{A2833A79-D8DD-F342-A047-A70224F89101}" uniqueName="9" name=" Total Carbohydrates (g) " queryTableFieldId="9" dataDxfId="40" totalsRowDxfId="39"/>
    <tableColumn id="10" xr3:uid="{D56A9E8B-4269-C24F-9F99-C71264B4BC2A}" uniqueName="10" name="Cholesterol (mg)" queryTableFieldId="10" dataDxfId="38" totalsRowDxfId="37"/>
    <tableColumn id="11" xr3:uid="{57E8D2C8-F464-C34D-8C85-DB720F430221}" uniqueName="11" name=" Dietary Fibre (g)" queryTableFieldId="11" dataDxfId="36" totalsRowDxfId="35"/>
    <tableColumn id="12" xr3:uid="{BD119C65-BD22-2645-8A92-06029792BB37}" uniqueName="12" name=" Sugars (g)" queryTableFieldId="12" dataDxfId="34" totalsRowDxfId="33"/>
    <tableColumn id="13" xr3:uid="{43ABE3C2-CCEE-C54C-A31A-2DD1476667F8}" uniqueName="13" name=" Protein (g) " queryTableFieldId="13" dataDxfId="32" totalsRowDxfId="31"/>
    <tableColumn id="14" xr3:uid="{138223F3-F618-8F48-9662-969609444614}" uniqueName="14" name="Vitamin A (% DV) " queryTableFieldId="14" dataDxfId="30" totalsRowDxfId="29"/>
    <tableColumn id="15" xr3:uid="{D12BE00D-F287-B846-BAFC-3130332CD566}" uniqueName="15" name="Vitamin C (% DV)" queryTableFieldId="15" dataDxfId="28" totalsRowDxfId="27"/>
    <tableColumn id="16" xr3:uid="{7210E8FB-5163-0F40-84B5-9ACDA38776CC}" uniqueName="16" name=" Calcium (% DV) " queryTableFieldId="16" dataDxfId="26" totalsRowDxfId="25"/>
    <tableColumn id="17" xr3:uid="{E4286AD6-D5F3-0946-BB71-460C41DE9C32}" uniqueName="17" name="Iron (% DV) " queryTableFieldId="17" dataDxfId="24" totalsRowDxfId="23"/>
    <tableColumn id="18" xr3:uid="{608EAC4B-EAF3-644A-98E1-341DDD93D40F}" uniqueName="18" name="Caffeine (mg)" queryTableFieldId="18" dataDxfId="22" totalsRowDxfId="21"/>
  </tableColumns>
  <tableStyleInfo name="TableStyleLight11"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A93EBE-2B80-B049-B31A-60B299F5BF3C}" name="Table5" displayName="Table5" ref="U22:Z32" totalsRowShown="0" headerRowDxfId="20" dataDxfId="18" headerRowBorderDxfId="19" tableBorderDxfId="17" totalsRowBorderDxfId="16">
  <autoFilter ref="U22:Z32" xr:uid="{9AA93EBE-2B80-B049-B31A-60B299F5BF3C}"/>
  <sortState xmlns:xlrd2="http://schemas.microsoft.com/office/spreadsheetml/2017/richdata2" ref="U23:Z32">
    <sortCondition descending="1" ref="V22:V32"/>
  </sortState>
  <tableColumns count="6">
    <tableColumn id="1" xr3:uid="{91E686FA-948F-F542-B265-AD49DE9B88FB}" name="Category" dataDxfId="15"/>
    <tableColumn id="2" xr3:uid="{1F305C61-7434-8D49-8A4A-4FFBA1A797AB}" name="Avg Calories" dataDxfId="14">
      <calculatedColumnFormula>AVERAGEIF($A$6:$A$247, "Classic Espresso Drinks", $D$6:$D$247)</calculatedColumnFormula>
    </tableColumn>
    <tableColumn id="3" xr3:uid="{893432B2-FB5B-0C4B-ACD0-286BBE751F3C}" name="Avg Sugar" dataDxfId="13"/>
    <tableColumn id="4" xr3:uid="{CD1ADC32-3A67-294D-9E2E-F4494EF3810E}" name="Avg Caffeine" dataDxfId="12">
      <calculatedColumnFormula>AVERAGEIF($A$6:$A$247, "Coffee", $R$6:$R$247)</calculatedColumnFormula>
    </tableColumn>
    <tableColumn id="5" xr3:uid="{E5A8DE5A-B044-7849-83B0-615DC448D9AB}" name="Avg Fat" dataDxfId="11">
      <calculatedColumnFormula>AVERAGEIF($A$6:$A$247, "Coffee", $E$6:$E$247)</calculatedColumnFormula>
    </tableColumn>
    <tableColumn id="6" xr3:uid="{75AF7B43-A0EB-954F-AD24-8FFC3A97C131}" name="Count" dataDxfId="10">
      <calculatedColumnFormula>COUNTIF($A$6:$A$247, "Classic Espresso Drinks")</calculatedColumnFormula>
    </tableColumn>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5BADDD-0152-0E4D-A97E-2C41BD373997}" name="Table6" displayName="Table6" ref="U36:Y46" totalsRowShown="0" headerRowDxfId="9" dataDxfId="7" headerRowBorderDxfId="8" tableBorderDxfId="6" totalsRowBorderDxfId="5">
  <autoFilter ref="U36:Y46" xr:uid="{045BADDD-0152-0E4D-A97E-2C41BD373997}"/>
  <tableColumns count="5">
    <tableColumn id="1" xr3:uid="{5A589B97-FCC0-2049-A3D6-2792E9CA9AB5}" name="Beverage Category" dataDxfId="4"/>
    <tableColumn id="2" xr3:uid="{4D52927C-0E10-6848-94BC-802EF6975E92}" name="Beverage " dataDxfId="3"/>
    <tableColumn id="3" xr3:uid="{4E81C1D9-6434-9941-902C-A856AF86F220}" name="Calories" dataDxfId="2"/>
    <tableColumn id="4" xr3:uid="{4D87A147-E01A-854A-B6F6-6E45A1F29E98}" name="Sugar(g)" dataDxfId="1"/>
    <tableColumn id="5" xr3:uid="{5CE2DBDA-77A7-9547-9513-98F3F5C47B59}" name="Fat(g)"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hyperlink" Target="applewebdata://4A0D2699-9392-4FAD-BCD0-6C5503F54A17/" TargetMode="Externa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applewebdata://4A0D2699-9392-4FAD-BCD0-6C5503F54A17/" TargetMode="External"/><Relationship Id="rId2" Type="http://schemas.openxmlformats.org/officeDocument/2006/relationships/hyperlink" Target="applewebdata://4A0D2699-9392-4FAD-BCD0-6C5503F54A17/" TargetMode="External"/><Relationship Id="rId1" Type="http://schemas.openxmlformats.org/officeDocument/2006/relationships/hyperlink" Target="applewebdata://4A0D2699-9392-4FAD-BCD0-6C5503F54A17/"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4FF1-E790-2941-8E9C-4BEA1EC5BFD2}">
  <dimension ref="B1:I100"/>
  <sheetViews>
    <sheetView showGridLines="0" topLeftCell="A2" zoomScale="67" zoomScaleNormal="67" workbookViewId="0">
      <pane xSplit="1" ySplit="4" topLeftCell="B6" activePane="bottomRight" state="frozen"/>
      <selection activeCell="A2" sqref="A2"/>
      <selection pane="topRight" activeCell="B2" sqref="B2"/>
      <selection pane="bottomLeft" activeCell="A6" sqref="A6"/>
      <selection pane="bottomRight" activeCell="B7" sqref="B7:H7"/>
    </sheetView>
  </sheetViews>
  <sheetFormatPr baseColWidth="10" defaultColWidth="3.83203125" defaultRowHeight="18" customHeight="1" x14ac:dyDescent="0.2"/>
  <cols>
    <col min="1" max="1" width="2.83203125" style="1" customWidth="1"/>
    <col min="2" max="8" width="50.83203125" style="1" customWidth="1"/>
    <col min="9" max="9" width="2.83203125" style="1" customWidth="1"/>
    <col min="10" max="16384" width="3.83203125" style="1"/>
  </cols>
  <sheetData>
    <row r="1" spans="2:9" ht="8" customHeight="1" x14ac:dyDescent="0.2"/>
    <row r="2" spans="2:9" s="2" customFormat="1" ht="52" customHeight="1" x14ac:dyDescent="0.2">
      <c r="B2" s="69" t="s">
        <v>102</v>
      </c>
      <c r="C2" s="69"/>
      <c r="D2" s="69"/>
      <c r="E2" s="69"/>
      <c r="F2" s="69"/>
      <c r="G2" s="69"/>
      <c r="H2" s="69"/>
      <c r="I2" s="10"/>
    </row>
    <row r="3" spans="2:9" ht="20" customHeight="1" x14ac:dyDescent="0.3">
      <c r="B3" s="70" t="s">
        <v>103</v>
      </c>
      <c r="C3" s="71"/>
      <c r="D3" s="71"/>
      <c r="E3" s="71"/>
      <c r="F3" s="71"/>
      <c r="G3" s="71"/>
      <c r="H3" s="71"/>
    </row>
    <row r="4" spans="2:9" ht="30" customHeight="1" x14ac:dyDescent="0.2">
      <c r="B4" s="14"/>
      <c r="C4" s="11"/>
      <c r="D4" s="11"/>
      <c r="E4" s="11"/>
      <c r="F4" s="11"/>
      <c r="G4" s="11"/>
      <c r="H4" s="11"/>
    </row>
    <row r="5" spans="2:9" s="2" customFormat="1" ht="72" customHeight="1" x14ac:dyDescent="0.2">
      <c r="B5" s="35" t="s">
        <v>125</v>
      </c>
      <c r="C5" s="32" t="s">
        <v>126</v>
      </c>
      <c r="D5" s="32" t="s">
        <v>127</v>
      </c>
      <c r="E5" s="32" t="s">
        <v>122</v>
      </c>
      <c r="F5" s="32" t="s">
        <v>120</v>
      </c>
      <c r="G5" s="32" t="s">
        <v>142</v>
      </c>
      <c r="H5" s="34" t="s">
        <v>121</v>
      </c>
    </row>
    <row r="6" spans="2:9" ht="73" customHeight="1" x14ac:dyDescent="0.2"/>
    <row r="7" spans="2:9" ht="26" customHeight="1" x14ac:dyDescent="0.3">
      <c r="B7" s="68" t="s">
        <v>115</v>
      </c>
      <c r="C7" s="68"/>
      <c r="D7" s="68"/>
      <c r="E7" s="68"/>
      <c r="F7" s="68"/>
      <c r="G7" s="68"/>
      <c r="H7" s="68"/>
    </row>
    <row r="8" spans="2:9" ht="43" customHeight="1" x14ac:dyDescent="0.3">
      <c r="B8" s="44"/>
      <c r="C8" s="44"/>
      <c r="D8" s="44"/>
      <c r="E8" s="44"/>
      <c r="F8" s="44"/>
      <c r="G8" s="44"/>
      <c r="H8" s="44"/>
    </row>
    <row r="9" spans="2:9" ht="22" customHeight="1" x14ac:dyDescent="0.2">
      <c r="B9" s="13"/>
      <c r="C9" s="13"/>
      <c r="D9" s="13"/>
      <c r="E9" s="13"/>
      <c r="F9" s="13"/>
      <c r="G9" s="13"/>
      <c r="H9" s="13"/>
    </row>
    <row r="10" spans="2:9" ht="33" customHeight="1" x14ac:dyDescent="0.2">
      <c r="C10" s="20" t="s">
        <v>104</v>
      </c>
      <c r="E10" s="20" t="s">
        <v>106</v>
      </c>
      <c r="G10" s="20" t="s">
        <v>108</v>
      </c>
    </row>
    <row r="11" spans="2:9" ht="46" customHeight="1" x14ac:dyDescent="0.2">
      <c r="C11" s="17">
        <f>COUNTA('Task 2'!A6:A247)</f>
        <v>242</v>
      </c>
      <c r="E11" s="17">
        <f>ROUND(AVERAGE('Task 2'!D6:D247),1)</f>
        <v>193.9</v>
      </c>
      <c r="G11" s="17">
        <f>ROUND(AVERAGE('Task 2'!L6:L247),1)</f>
        <v>33</v>
      </c>
    </row>
    <row r="12" spans="2:9" ht="33" customHeight="1" x14ac:dyDescent="0.2">
      <c r="C12" s="18" t="s">
        <v>105</v>
      </c>
      <c r="E12" s="18" t="s">
        <v>107</v>
      </c>
      <c r="G12" s="18" t="s">
        <v>109</v>
      </c>
    </row>
    <row r="14" spans="2:9" ht="33" customHeight="1" x14ac:dyDescent="0.2">
      <c r="C14" s="20" t="s">
        <v>110</v>
      </c>
      <c r="D14" s="43"/>
      <c r="E14" s="21" t="s">
        <v>112</v>
      </c>
      <c r="G14" s="20" t="s">
        <v>113</v>
      </c>
    </row>
    <row r="15" spans="2:9" ht="46" customHeight="1" x14ac:dyDescent="0.2">
      <c r="C15" s="17">
        <f>ROUND(AVERAGE('Task 2'!R6:R247),1)</f>
        <v>89.5</v>
      </c>
      <c r="D15" s="43"/>
      <c r="E15" s="15">
        <f>ROUND(AVERAGE('Task 2'!E6:E247),1)</f>
        <v>2.9</v>
      </c>
      <c r="G15" s="17">
        <f>ROUND(AVERAGE('Task 2'!M6:M247),1)</f>
        <v>7</v>
      </c>
    </row>
    <row r="16" spans="2:9" ht="33" customHeight="1" x14ac:dyDescent="0.2">
      <c r="C16" s="18" t="s">
        <v>111</v>
      </c>
      <c r="D16" s="43"/>
      <c r="E16" s="16" t="s">
        <v>109</v>
      </c>
      <c r="F16" s="11"/>
      <c r="G16" s="18" t="s">
        <v>109</v>
      </c>
      <c r="H16" s="11"/>
    </row>
    <row r="17" spans="2:8" ht="18" customHeight="1" x14ac:dyDescent="0.2">
      <c r="E17" s="11"/>
      <c r="F17" s="11"/>
      <c r="H17" s="11"/>
    </row>
    <row r="18" spans="2:8" ht="18" customHeight="1" x14ac:dyDescent="0.2">
      <c r="B18" s="72"/>
      <c r="C18" s="72"/>
      <c r="D18" s="72"/>
      <c r="E18" s="72"/>
      <c r="F18" s="72"/>
      <c r="G18" s="72"/>
      <c r="H18" s="72"/>
    </row>
    <row r="19" spans="2:8" s="12" customFormat="1" ht="30" customHeight="1" x14ac:dyDescent="0.2"/>
    <row r="20" spans="2:8" ht="26" customHeight="1" x14ac:dyDescent="0.3">
      <c r="B20" s="68" t="s">
        <v>114</v>
      </c>
      <c r="C20" s="68"/>
      <c r="D20" s="68"/>
      <c r="E20" s="68"/>
      <c r="F20" s="68"/>
      <c r="G20" s="68"/>
      <c r="H20" s="68"/>
    </row>
    <row r="21" spans="2:8" ht="43" customHeight="1" x14ac:dyDescent="0.2"/>
    <row r="70" spans="2:8" ht="18" customHeight="1" x14ac:dyDescent="0.3">
      <c r="B70" s="68" t="s">
        <v>116</v>
      </c>
      <c r="C70" s="68"/>
      <c r="D70" s="68"/>
      <c r="E70" s="68"/>
      <c r="F70" s="68"/>
      <c r="G70" s="68"/>
      <c r="H70" s="68"/>
    </row>
    <row r="71" spans="2:8" ht="18" customHeight="1" x14ac:dyDescent="0.25">
      <c r="B71" s="19"/>
      <c r="C71" s="19"/>
      <c r="D71" s="19"/>
      <c r="E71" s="19"/>
      <c r="F71" s="19"/>
      <c r="G71" s="19"/>
      <c r="H71" s="19"/>
    </row>
    <row r="72" spans="2:8" ht="18" customHeight="1" x14ac:dyDescent="0.25">
      <c r="B72" s="19"/>
      <c r="C72" s="19"/>
      <c r="D72" s="19"/>
      <c r="E72" s="19"/>
      <c r="F72" s="19"/>
      <c r="G72" s="19"/>
      <c r="H72" s="19"/>
    </row>
    <row r="73" spans="2:8" ht="28" customHeight="1" x14ac:dyDescent="0.3">
      <c r="B73" s="33" t="s">
        <v>117</v>
      </c>
    </row>
    <row r="74" spans="2:8" ht="18" customHeight="1" x14ac:dyDescent="0.25">
      <c r="B74" s="7"/>
    </row>
    <row r="75" spans="2:8" ht="27" customHeight="1" x14ac:dyDescent="0.2">
      <c r="B75" s="22" t="s">
        <v>86</v>
      </c>
      <c r="C75" s="23" t="s">
        <v>87</v>
      </c>
      <c r="D75" s="23" t="s">
        <v>88</v>
      </c>
      <c r="E75" s="23" t="s">
        <v>89</v>
      </c>
      <c r="F75" s="23" t="s">
        <v>90</v>
      </c>
      <c r="G75" s="23"/>
      <c r="H75" s="24" t="s">
        <v>91</v>
      </c>
    </row>
    <row r="76" spans="2:8" ht="18" customHeight="1" x14ac:dyDescent="0.2">
      <c r="B76" s="25" t="s">
        <v>63</v>
      </c>
      <c r="C76" s="26">
        <v>282.22222222222223</v>
      </c>
      <c r="D76" s="26">
        <v>36.777777777777779</v>
      </c>
      <c r="E76" s="26">
        <v>5.625</v>
      </c>
      <c r="F76" s="26">
        <v>0.1</v>
      </c>
      <c r="G76" s="26"/>
      <c r="H76" s="27">
        <v>9</v>
      </c>
    </row>
    <row r="77" spans="2:8" ht="18" customHeight="1" x14ac:dyDescent="0.2">
      <c r="B77" s="28" t="s">
        <v>67</v>
      </c>
      <c r="C77" s="26">
        <v>276.94444444444446</v>
      </c>
      <c r="D77" s="26">
        <v>57.083333333333336</v>
      </c>
      <c r="E77" s="26">
        <v>101.80555555555556</v>
      </c>
      <c r="F77" s="26">
        <v>3.0027777777777773</v>
      </c>
      <c r="G77" s="26"/>
      <c r="H77" s="27">
        <v>36</v>
      </c>
    </row>
    <row r="78" spans="2:8" ht="18" customHeight="1" x14ac:dyDescent="0.2">
      <c r="B78" s="25" t="s">
        <v>45</v>
      </c>
      <c r="C78" s="26">
        <v>250</v>
      </c>
      <c r="D78" s="26">
        <v>38.6</v>
      </c>
      <c r="E78" s="26">
        <v>73.875</v>
      </c>
      <c r="F78" s="26">
        <v>5.2750000000000004</v>
      </c>
      <c r="G78" s="26"/>
      <c r="H78" s="27">
        <v>40</v>
      </c>
    </row>
    <row r="79" spans="2:8" ht="18" customHeight="1" x14ac:dyDescent="0.2">
      <c r="B79" s="25" t="s">
        <v>45</v>
      </c>
      <c r="C79" s="26">
        <v>250</v>
      </c>
      <c r="D79" s="26">
        <v>38.6</v>
      </c>
      <c r="E79" s="26">
        <v>73.875</v>
      </c>
      <c r="F79" s="26">
        <v>0.1</v>
      </c>
      <c r="G79" s="26"/>
      <c r="H79" s="27">
        <v>40</v>
      </c>
    </row>
    <row r="80" spans="2:8" ht="18" customHeight="1" x14ac:dyDescent="0.2">
      <c r="B80" s="28" t="s">
        <v>76</v>
      </c>
      <c r="C80" s="26">
        <v>233.07692307692307</v>
      </c>
      <c r="D80" s="26">
        <v>48.46153846153846</v>
      </c>
      <c r="E80" s="26">
        <v>0</v>
      </c>
      <c r="F80" s="26">
        <v>1.8500000000000003</v>
      </c>
      <c r="G80" s="26"/>
      <c r="H80" s="27">
        <v>13</v>
      </c>
    </row>
    <row r="81" spans="2:8" ht="18" customHeight="1" x14ac:dyDescent="0.2">
      <c r="B81" s="25" t="s">
        <v>50</v>
      </c>
      <c r="C81" s="26">
        <v>177.30769230769232</v>
      </c>
      <c r="D81" s="26">
        <v>30.307692307692307</v>
      </c>
      <c r="E81" s="26">
        <v>50.416666666666664</v>
      </c>
      <c r="F81" s="26">
        <v>0.1</v>
      </c>
      <c r="G81" s="26"/>
      <c r="H81" s="27">
        <v>52</v>
      </c>
    </row>
    <row r="82" spans="2:8" ht="18" customHeight="1" x14ac:dyDescent="0.2">
      <c r="B82" s="25" t="s">
        <v>72</v>
      </c>
      <c r="C82" s="26">
        <v>162.5</v>
      </c>
      <c r="D82" s="26">
        <v>32.416666666666664</v>
      </c>
      <c r="E82" s="26">
        <v>99.583333333333329</v>
      </c>
      <c r="F82" s="26">
        <v>1.2583333333333331</v>
      </c>
      <c r="G82" s="26"/>
      <c r="H82" s="27">
        <v>12</v>
      </c>
    </row>
    <row r="83" spans="2:8" ht="18" customHeight="1" x14ac:dyDescent="0.2">
      <c r="B83" s="25" t="s">
        <v>29</v>
      </c>
      <c r="C83" s="26">
        <v>140.17241379310346</v>
      </c>
      <c r="D83" s="26">
        <v>16.96551724137931</v>
      </c>
      <c r="E83" s="26">
        <v>73.875</v>
      </c>
      <c r="F83" s="26">
        <v>3.127586206896551</v>
      </c>
      <c r="G83" s="26"/>
      <c r="H83" s="27">
        <v>58</v>
      </c>
    </row>
    <row r="84" spans="2:8" ht="18" customHeight="1" x14ac:dyDescent="0.2">
      <c r="B84" s="28" t="s">
        <v>58</v>
      </c>
      <c r="C84" s="26">
        <v>114.44444444444444</v>
      </c>
      <c r="D84" s="26">
        <v>26</v>
      </c>
      <c r="E84" s="26">
        <v>134.61538461538461</v>
      </c>
      <c r="F84" s="26">
        <v>0.47222222222222221</v>
      </c>
      <c r="G84" s="26"/>
      <c r="H84" s="27">
        <v>18</v>
      </c>
    </row>
    <row r="85" spans="2:8" ht="18" customHeight="1" x14ac:dyDescent="0.2">
      <c r="B85" s="29" t="s">
        <v>23</v>
      </c>
      <c r="C85" s="30">
        <v>4.25</v>
      </c>
      <c r="D85" s="30">
        <v>0</v>
      </c>
      <c r="E85" s="30">
        <v>293.75</v>
      </c>
      <c r="F85" s="30">
        <v>0.1</v>
      </c>
      <c r="G85" s="30"/>
      <c r="H85" s="31">
        <v>4</v>
      </c>
    </row>
    <row r="88" spans="2:8" ht="28" customHeight="1" x14ac:dyDescent="0.3">
      <c r="B88" s="33" t="s">
        <v>118</v>
      </c>
    </row>
    <row r="90" spans="2:8" ht="27" customHeight="1" x14ac:dyDescent="0.2">
      <c r="B90" s="22" t="s">
        <v>96</v>
      </c>
      <c r="C90" s="22" t="s">
        <v>97</v>
      </c>
      <c r="D90" s="22" t="s">
        <v>8</v>
      </c>
      <c r="E90" s="22" t="s">
        <v>94</v>
      </c>
      <c r="F90" s="22" t="s">
        <v>95</v>
      </c>
    </row>
    <row r="91" spans="2:8" ht="18" customHeight="1" x14ac:dyDescent="0.2">
      <c r="B91" s="25" t="s">
        <v>45</v>
      </c>
      <c r="C91" s="25" t="s">
        <v>47</v>
      </c>
      <c r="D91" s="25">
        <v>510</v>
      </c>
      <c r="E91" s="25">
        <v>74</v>
      </c>
      <c r="F91" s="25">
        <v>15</v>
      </c>
    </row>
    <row r="92" spans="2:8" ht="18" customHeight="1" x14ac:dyDescent="0.2">
      <c r="B92" s="28" t="s">
        <v>45</v>
      </c>
      <c r="C92" s="28" t="s">
        <v>47</v>
      </c>
      <c r="D92" s="28">
        <v>460</v>
      </c>
      <c r="E92" s="28">
        <v>64</v>
      </c>
      <c r="F92" s="28">
        <v>13</v>
      </c>
    </row>
    <row r="93" spans="2:8" ht="18" customHeight="1" x14ac:dyDescent="0.2">
      <c r="B93" s="25" t="s">
        <v>67</v>
      </c>
      <c r="C93" s="25" t="s">
        <v>71</v>
      </c>
      <c r="D93" s="25">
        <v>460</v>
      </c>
      <c r="E93" s="25">
        <v>84</v>
      </c>
      <c r="F93" s="25">
        <v>10</v>
      </c>
    </row>
    <row r="94" spans="2:8" ht="18" customHeight="1" x14ac:dyDescent="0.2">
      <c r="B94" s="25" t="s">
        <v>45</v>
      </c>
      <c r="C94" s="25" t="s">
        <v>47</v>
      </c>
      <c r="D94" s="25">
        <v>450</v>
      </c>
      <c r="E94" s="25">
        <v>74</v>
      </c>
      <c r="F94" s="25">
        <v>7</v>
      </c>
    </row>
    <row r="95" spans="2:8" ht="18" customHeight="1" x14ac:dyDescent="0.2">
      <c r="B95" s="28" t="s">
        <v>50</v>
      </c>
      <c r="C95" s="28" t="s">
        <v>54</v>
      </c>
      <c r="D95" s="28">
        <v>450</v>
      </c>
      <c r="E95" s="28">
        <v>71</v>
      </c>
      <c r="F95" s="28">
        <v>10</v>
      </c>
    </row>
    <row r="96" spans="2:8" ht="18" customHeight="1" x14ac:dyDescent="0.2">
      <c r="B96" s="25" t="s">
        <v>67</v>
      </c>
      <c r="C96" s="25" t="s">
        <v>71</v>
      </c>
      <c r="D96" s="25">
        <v>430</v>
      </c>
      <c r="E96" s="25">
        <v>80</v>
      </c>
      <c r="F96" s="25">
        <v>8</v>
      </c>
    </row>
    <row r="97" spans="2:6" ht="18" customHeight="1" x14ac:dyDescent="0.2">
      <c r="B97" s="25" t="s">
        <v>67</v>
      </c>
      <c r="C97" s="25" t="s">
        <v>71</v>
      </c>
      <c r="D97" s="25">
        <v>420</v>
      </c>
      <c r="E97" s="25">
        <v>84</v>
      </c>
      <c r="F97" s="25">
        <v>5</v>
      </c>
    </row>
    <row r="98" spans="2:6" ht="18" customHeight="1" x14ac:dyDescent="0.2">
      <c r="B98" s="25" t="s">
        <v>45</v>
      </c>
      <c r="C98" s="25" t="s">
        <v>47</v>
      </c>
      <c r="D98" s="25">
        <v>400</v>
      </c>
      <c r="E98" s="25">
        <v>58</v>
      </c>
      <c r="F98" s="25">
        <v>11</v>
      </c>
    </row>
    <row r="99" spans="2:6" ht="18" customHeight="1" x14ac:dyDescent="0.2">
      <c r="B99" s="28" t="s">
        <v>50</v>
      </c>
      <c r="C99" s="28" t="s">
        <v>54</v>
      </c>
      <c r="D99" s="28">
        <v>390</v>
      </c>
      <c r="E99" s="28">
        <v>58</v>
      </c>
      <c r="F99" s="28">
        <v>8</v>
      </c>
    </row>
    <row r="100" spans="2:6" ht="18" customHeight="1" x14ac:dyDescent="0.2">
      <c r="B100" s="29" t="s">
        <v>67</v>
      </c>
      <c r="C100" s="29" t="s">
        <v>69</v>
      </c>
      <c r="D100" s="29">
        <v>390</v>
      </c>
      <c r="E100" s="29">
        <v>76</v>
      </c>
      <c r="F100" s="29">
        <v>6</v>
      </c>
    </row>
  </sheetData>
  <mergeCells count="6">
    <mergeCell ref="B20:H20"/>
    <mergeCell ref="B70:H70"/>
    <mergeCell ref="B2:H2"/>
    <mergeCell ref="B3:H3"/>
    <mergeCell ref="B7:H7"/>
    <mergeCell ref="B18:H18"/>
  </mergeCells>
  <hyperlinks>
    <hyperlink ref="B5" location="KPI_Section" display="⬇  KPI Overview" xr:uid="{F262CBDC-8441-0149-85F6-20338D449353}"/>
    <hyperlink ref="C5" location="Charts_Section" display="⬇  Trends &amp; Charts" xr:uid="{33ACB1B8-B714-5143-B3EA-FF2402C48029}"/>
    <hyperlink ref="D5" location="Breakdown_Section" display="⬇  Breakdown" xr:uid="{20EEB4F4-C44F-8940-88FE-63CFCC764276}"/>
    <hyperlink ref="E5" location="'Task 1'!A1" display="→  Task 1" xr:uid="{8482073A-72A8-2B49-929C-C45957278311}"/>
    <hyperlink ref="F5" location="'Task 2'!A1" display="→  Task 2" xr:uid="{EBFF5CC2-98AA-4541-A4F5-652C16D2F427}"/>
    <hyperlink ref="H5" location="'Task 5'!A1" display="→  Task 5" xr:uid="{DEFBE029-7674-4E46-8BBA-FD2EB49C83F3}"/>
    <hyperlink ref="G5" location="'Task 3'!A1" display="Task 3" xr:uid="{C81559E5-2B66-084D-B848-715DDA6A9496}"/>
  </hyperlink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083B-2DFE-1949-A47B-D9E3F947AB53}">
  <dimension ref="A1:D9"/>
  <sheetViews>
    <sheetView zoomScale="75" workbookViewId="0">
      <pane ySplit="1" topLeftCell="A2" activePane="bottomLeft" state="frozen"/>
      <selection pane="bottomLeft"/>
    </sheetView>
  </sheetViews>
  <sheetFormatPr baseColWidth="10" defaultColWidth="11.1640625" defaultRowHeight="16" x14ac:dyDescent="0.2"/>
  <cols>
    <col min="1" max="4" width="50.83203125" customWidth="1"/>
  </cols>
  <sheetData>
    <row r="1" spans="1:4" ht="40" customHeight="1" x14ac:dyDescent="0.2">
      <c r="A1" s="37" t="s">
        <v>119</v>
      </c>
      <c r="B1" s="37" t="s">
        <v>120</v>
      </c>
      <c r="C1" s="37" t="s">
        <v>142</v>
      </c>
      <c r="D1" s="37" t="s">
        <v>121</v>
      </c>
    </row>
    <row r="2" spans="1:4" ht="17" customHeight="1" x14ac:dyDescent="0.2">
      <c r="A2" s="74"/>
      <c r="B2" s="74"/>
      <c r="C2" s="74"/>
    </row>
    <row r="3" spans="1:4" ht="26" customHeight="1" x14ac:dyDescent="0.2">
      <c r="A3" s="75" t="s">
        <v>0</v>
      </c>
      <c r="B3" s="75"/>
      <c r="C3" s="75"/>
      <c r="D3" s="75"/>
    </row>
    <row r="4" spans="1:4" x14ac:dyDescent="0.2">
      <c r="A4" s="74"/>
      <c r="B4" s="74"/>
      <c r="C4" s="74"/>
      <c r="D4" s="74"/>
    </row>
    <row r="5" spans="1:4" x14ac:dyDescent="0.2">
      <c r="A5" s="74"/>
      <c r="B5" s="74"/>
      <c r="C5" s="74"/>
      <c r="D5" s="74"/>
    </row>
    <row r="6" spans="1:4" ht="138" customHeight="1" x14ac:dyDescent="0.2">
      <c r="A6" s="36" t="s">
        <v>2</v>
      </c>
      <c r="B6" s="73" t="s">
        <v>124</v>
      </c>
      <c r="C6" s="73"/>
      <c r="D6" s="73"/>
    </row>
    <row r="7" spans="1:4" ht="109" customHeight="1" x14ac:dyDescent="0.2">
      <c r="A7" s="36" t="s">
        <v>3</v>
      </c>
      <c r="B7" s="76" t="s">
        <v>144</v>
      </c>
      <c r="C7" s="76"/>
      <c r="D7" s="76"/>
    </row>
    <row r="8" spans="1:4" ht="116" customHeight="1" x14ac:dyDescent="0.2">
      <c r="A8" s="36" t="s">
        <v>4</v>
      </c>
      <c r="B8" s="73" t="s">
        <v>143</v>
      </c>
      <c r="C8" s="73"/>
      <c r="D8" s="73"/>
    </row>
    <row r="9" spans="1:4" ht="237" customHeight="1" x14ac:dyDescent="0.2">
      <c r="A9" s="36" t="s">
        <v>1</v>
      </c>
      <c r="B9" s="73" t="s">
        <v>145</v>
      </c>
      <c r="C9" s="73"/>
      <c r="D9" s="73"/>
    </row>
  </sheetData>
  <mergeCells count="7">
    <mergeCell ref="B9:D9"/>
    <mergeCell ref="A4:D5"/>
    <mergeCell ref="A2:C2"/>
    <mergeCell ref="A3:D3"/>
    <mergeCell ref="B6:D6"/>
    <mergeCell ref="B7:D7"/>
    <mergeCell ref="B8:D8"/>
  </mergeCells>
  <phoneticPr fontId="36" type="noConversion"/>
  <hyperlinks>
    <hyperlink ref="A1" location="Dashboard!A1" display="Dashboard" xr:uid="{7998A6FE-0629-B045-BBC9-963B9618EE36}"/>
    <hyperlink ref="B1" location="'Task 2'!A1" display="Task 2" xr:uid="{FE95948B-7E07-6942-878F-05CDFDC3E15D}"/>
    <hyperlink ref="C1" location="'Task 3'!A1" display="Task 3" xr:uid="{E3CE5EFD-C2DA-EE46-9719-368CD1DF1150}"/>
    <hyperlink ref="D1" location="'Task 5'!A1" display="Task 5" xr:uid="{7E3E3095-C74B-A34C-81B6-42FB6166685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A9654-69EE-8C47-AB95-467DFAA96041}">
  <dimension ref="A1:AE248"/>
  <sheetViews>
    <sheetView tabSelected="1" zoomScale="50" zoomScaleNormal="85" workbookViewId="0">
      <pane ySplit="1" topLeftCell="A2" activePane="bottomLeft" state="frozen"/>
      <selection pane="bottomLeft" activeCell="A4" sqref="A4:R4"/>
    </sheetView>
  </sheetViews>
  <sheetFormatPr baseColWidth="10" defaultColWidth="10.83203125" defaultRowHeight="19" x14ac:dyDescent="0.25"/>
  <cols>
    <col min="1" max="1" width="27.5" style="5" customWidth="1"/>
    <col min="2" max="2" width="30.83203125" style="5" customWidth="1"/>
    <col min="3" max="3" width="20.1640625" style="3" bestFit="1" customWidth="1"/>
    <col min="4" max="4" width="13.5" style="3" bestFit="1" customWidth="1"/>
    <col min="5" max="5" width="16.83203125" style="3" bestFit="1" customWidth="1"/>
    <col min="6" max="6" width="17.33203125" style="3" bestFit="1" customWidth="1"/>
    <col min="7" max="7" width="21.6640625" style="3" bestFit="1" customWidth="1"/>
    <col min="8" max="8" width="18.1640625" style="3" bestFit="1" customWidth="1"/>
    <col min="9" max="9" width="30" style="3" bestFit="1" customWidth="1"/>
    <col min="10" max="10" width="22.33203125" style="3" bestFit="1" customWidth="1"/>
    <col min="11" max="11" width="21.6640625" style="3" bestFit="1" customWidth="1"/>
    <col min="12" max="12" width="15" style="3" bestFit="1" customWidth="1"/>
    <col min="13" max="13" width="16.33203125" style="3" bestFit="1" customWidth="1"/>
    <col min="14" max="14" width="22.1640625" style="3" bestFit="1" customWidth="1"/>
    <col min="15" max="15" width="22" style="3" bestFit="1" customWidth="1"/>
    <col min="16" max="16" width="21" style="3" bestFit="1" customWidth="1"/>
    <col min="17" max="17" width="16.33203125" style="3" bestFit="1" customWidth="1"/>
    <col min="18" max="18" width="18.33203125" style="3" bestFit="1" customWidth="1"/>
    <col min="19" max="20" width="10.83203125" style="3"/>
    <col min="21" max="21" width="38.83203125" style="3" customWidth="1"/>
    <col min="22" max="22" width="16.5" style="3" customWidth="1"/>
    <col min="23" max="23" width="14.33203125" style="3" customWidth="1"/>
    <col min="24" max="24" width="16" style="3" customWidth="1"/>
    <col min="25" max="25" width="13.5" style="3" customWidth="1"/>
    <col min="26" max="26" width="18" style="3" customWidth="1"/>
    <col min="27" max="32" width="10.83203125" style="3"/>
    <col min="33" max="33" width="6.83203125" style="3" customWidth="1"/>
    <col min="34" max="34" width="10.83203125" style="3" customWidth="1"/>
    <col min="35" max="35" width="3.33203125" style="3" customWidth="1"/>
    <col min="36" max="36" width="5.1640625" style="3" customWidth="1"/>
    <col min="37" max="37" width="5.33203125" style="3" customWidth="1"/>
    <col min="38" max="38" width="5.83203125" style="3" customWidth="1"/>
    <col min="39" max="16384" width="10.83203125" style="3"/>
  </cols>
  <sheetData>
    <row r="1" spans="1:31" ht="40" customHeight="1" x14ac:dyDescent="0.25">
      <c r="A1" s="85" t="s">
        <v>119</v>
      </c>
      <c r="B1" s="85"/>
      <c r="C1" s="85"/>
      <c r="D1" s="85"/>
      <c r="E1" s="85" t="s">
        <v>122</v>
      </c>
      <c r="F1" s="85"/>
      <c r="G1" s="85"/>
      <c r="H1" s="85"/>
      <c r="I1" s="85"/>
      <c r="J1" s="85" t="s">
        <v>142</v>
      </c>
      <c r="K1" s="85"/>
      <c r="L1" s="85"/>
      <c r="M1" s="85"/>
      <c r="N1" s="85"/>
      <c r="O1" s="85" t="s">
        <v>121</v>
      </c>
      <c r="P1" s="85"/>
      <c r="Q1" s="85"/>
      <c r="R1" s="85"/>
    </row>
    <row r="2" spans="1:31" s="74" customFormat="1" ht="40" customHeight="1" x14ac:dyDescent="0.2"/>
    <row r="3" spans="1:31" ht="40" customHeight="1" x14ac:dyDescent="0.25">
      <c r="A3" s="75" t="s">
        <v>80</v>
      </c>
      <c r="B3" s="75"/>
      <c r="C3" s="75"/>
      <c r="D3" s="75"/>
      <c r="E3" s="75"/>
      <c r="F3" s="75"/>
      <c r="G3" s="75"/>
      <c r="H3" s="75"/>
      <c r="I3" s="75"/>
      <c r="J3" s="75"/>
      <c r="K3" s="75"/>
      <c r="L3" s="75"/>
      <c r="M3" s="75"/>
      <c r="N3" s="75"/>
      <c r="O3" s="75"/>
      <c r="P3" s="75"/>
      <c r="Q3" s="75"/>
      <c r="R3" s="75"/>
    </row>
    <row r="4" spans="1:31" ht="40" customHeight="1" x14ac:dyDescent="0.25">
      <c r="A4" s="92" t="s">
        <v>82</v>
      </c>
      <c r="B4" s="93"/>
      <c r="C4" s="93"/>
      <c r="D4" s="93"/>
      <c r="E4" s="93"/>
      <c r="F4" s="93"/>
      <c r="G4" s="93"/>
      <c r="H4" s="93"/>
      <c r="I4" s="93"/>
      <c r="J4" s="93"/>
      <c r="K4" s="93"/>
      <c r="L4" s="93"/>
      <c r="M4" s="93"/>
      <c r="N4" s="93"/>
      <c r="O4" s="93"/>
      <c r="P4" s="93"/>
      <c r="Q4" s="93"/>
      <c r="R4" s="93"/>
    </row>
    <row r="5" spans="1:31" ht="20" x14ac:dyDescent="0.25">
      <c r="A5" s="6" t="s">
        <v>5</v>
      </c>
      <c r="B5" s="6" t="s">
        <v>6</v>
      </c>
      <c r="C5" s="4" t="s">
        <v>7</v>
      </c>
      <c r="D5" s="4" t="s">
        <v>8</v>
      </c>
      <c r="E5" s="7" t="s">
        <v>9</v>
      </c>
      <c r="F5" s="4" t="s">
        <v>10</v>
      </c>
      <c r="G5" s="4" t="s">
        <v>11</v>
      </c>
      <c r="H5" s="4" t="s">
        <v>12</v>
      </c>
      <c r="I5" s="4" t="s">
        <v>13</v>
      </c>
      <c r="J5" s="4" t="s">
        <v>14</v>
      </c>
      <c r="K5" s="4" t="s">
        <v>15</v>
      </c>
      <c r="L5" s="4" t="s">
        <v>16</v>
      </c>
      <c r="M5" s="4" t="s">
        <v>17</v>
      </c>
      <c r="N5" s="4" t="s">
        <v>18</v>
      </c>
      <c r="O5" s="4" t="s">
        <v>19</v>
      </c>
      <c r="P5" s="4" t="s">
        <v>20</v>
      </c>
      <c r="Q5" s="4" t="s">
        <v>21</v>
      </c>
      <c r="R5" s="4" t="s">
        <v>22</v>
      </c>
    </row>
    <row r="6" spans="1:31" ht="40" x14ac:dyDescent="0.25">
      <c r="A6" s="5" t="s">
        <v>29</v>
      </c>
      <c r="B6" s="5" t="s">
        <v>37</v>
      </c>
      <c r="C6" s="3" t="s">
        <v>32</v>
      </c>
      <c r="D6" s="3">
        <v>340</v>
      </c>
      <c r="E6" s="3">
        <v>11</v>
      </c>
      <c r="F6" s="3">
        <v>6</v>
      </c>
      <c r="G6" s="3">
        <v>0.2</v>
      </c>
      <c r="H6" s="3">
        <v>30</v>
      </c>
      <c r="I6" s="3">
        <v>180</v>
      </c>
      <c r="J6" s="3">
        <v>53</v>
      </c>
      <c r="K6" s="3">
        <v>2</v>
      </c>
      <c r="L6" s="3">
        <v>43</v>
      </c>
      <c r="M6" s="3">
        <v>17</v>
      </c>
      <c r="N6" s="3">
        <v>0.2</v>
      </c>
      <c r="O6" s="3">
        <v>0.02</v>
      </c>
      <c r="P6" s="3">
        <v>0.45</v>
      </c>
      <c r="Q6" s="3">
        <v>0.3</v>
      </c>
      <c r="R6" s="3">
        <v>180</v>
      </c>
    </row>
    <row r="7" spans="1:31" ht="40" x14ac:dyDescent="0.25">
      <c r="A7" s="5" t="s">
        <v>29</v>
      </c>
      <c r="B7" s="5" t="s">
        <v>38</v>
      </c>
      <c r="C7" s="3" t="s">
        <v>32</v>
      </c>
      <c r="D7" s="3">
        <v>320</v>
      </c>
      <c r="E7" s="3">
        <v>9</v>
      </c>
      <c r="F7" s="3">
        <v>4.5</v>
      </c>
      <c r="G7" s="3">
        <v>0.3</v>
      </c>
      <c r="H7" s="3">
        <v>35</v>
      </c>
      <c r="I7" s="3">
        <v>200</v>
      </c>
      <c r="J7" s="3">
        <v>46</v>
      </c>
      <c r="K7" s="3">
        <v>0</v>
      </c>
      <c r="L7" s="3">
        <v>44</v>
      </c>
      <c r="M7" s="3">
        <v>15</v>
      </c>
      <c r="N7" s="3">
        <v>0.25</v>
      </c>
      <c r="O7" s="3">
        <v>0.02</v>
      </c>
      <c r="P7" s="3">
        <v>0.45</v>
      </c>
      <c r="Q7" s="3">
        <v>0</v>
      </c>
      <c r="R7" s="3">
        <v>150</v>
      </c>
      <c r="U7" s="86" t="s">
        <v>84</v>
      </c>
      <c r="V7" s="87"/>
      <c r="W7" s="87"/>
      <c r="X7" s="87"/>
      <c r="Y7" s="87"/>
      <c r="Z7" s="88"/>
    </row>
    <row r="8" spans="1:31" ht="40" x14ac:dyDescent="0.25">
      <c r="A8" s="5" t="s">
        <v>29</v>
      </c>
      <c r="B8" s="5" t="s">
        <v>37</v>
      </c>
      <c r="C8" s="3" t="s">
        <v>33</v>
      </c>
      <c r="D8" s="3">
        <v>290</v>
      </c>
      <c r="E8" s="3">
        <v>9</v>
      </c>
      <c r="F8" s="3">
        <v>2.5</v>
      </c>
      <c r="G8" s="3">
        <v>0</v>
      </c>
      <c r="H8" s="3">
        <v>0</v>
      </c>
      <c r="I8" s="3">
        <v>140</v>
      </c>
      <c r="J8" s="3">
        <v>47</v>
      </c>
      <c r="K8" s="3">
        <v>4</v>
      </c>
      <c r="L8" s="3">
        <v>33</v>
      </c>
      <c r="M8" s="3">
        <v>14</v>
      </c>
      <c r="N8" s="3">
        <v>0.15</v>
      </c>
      <c r="O8" s="3">
        <v>0</v>
      </c>
      <c r="P8" s="3">
        <v>0.45</v>
      </c>
      <c r="Q8" s="3">
        <v>0.5</v>
      </c>
      <c r="R8" s="3">
        <v>180</v>
      </c>
      <c r="U8" s="89" t="s">
        <v>146</v>
      </c>
      <c r="V8" s="90"/>
      <c r="W8" s="90"/>
      <c r="X8" s="90"/>
      <c r="Y8" s="90"/>
      <c r="Z8" s="91"/>
      <c r="AE8" s="66"/>
    </row>
    <row r="9" spans="1:31" ht="20" customHeight="1" x14ac:dyDescent="0.25">
      <c r="A9" s="5" t="s">
        <v>29</v>
      </c>
      <c r="B9" s="5" t="s">
        <v>37</v>
      </c>
      <c r="C9" s="3" t="s">
        <v>36</v>
      </c>
      <c r="D9" s="3">
        <v>280</v>
      </c>
      <c r="E9" s="3">
        <v>3</v>
      </c>
      <c r="F9" s="3">
        <v>2</v>
      </c>
      <c r="G9" s="3">
        <v>0</v>
      </c>
      <c r="H9" s="3">
        <v>10</v>
      </c>
      <c r="I9" s="3">
        <v>160</v>
      </c>
      <c r="J9" s="3">
        <v>54</v>
      </c>
      <c r="K9" s="3">
        <v>2</v>
      </c>
      <c r="L9" s="3">
        <v>44</v>
      </c>
      <c r="M9" s="3">
        <v>17</v>
      </c>
      <c r="N9" s="3">
        <v>0.25</v>
      </c>
      <c r="O9" s="3">
        <v>0</v>
      </c>
      <c r="P9" s="3">
        <v>0.45</v>
      </c>
      <c r="Q9" s="3">
        <v>0.3</v>
      </c>
      <c r="R9" s="3">
        <v>180</v>
      </c>
      <c r="U9" s="89"/>
      <c r="V9" s="90"/>
      <c r="W9" s="90"/>
      <c r="X9" s="90"/>
      <c r="Y9" s="90"/>
      <c r="Z9" s="91"/>
      <c r="AE9" s="67"/>
    </row>
    <row r="10" spans="1:31" ht="20" customHeight="1" x14ac:dyDescent="0.25">
      <c r="A10" s="5" t="s">
        <v>29</v>
      </c>
      <c r="B10" s="5" t="s">
        <v>38</v>
      </c>
      <c r="C10" s="3" t="s">
        <v>33</v>
      </c>
      <c r="D10" s="3">
        <v>270</v>
      </c>
      <c r="E10" s="3">
        <v>7</v>
      </c>
      <c r="F10" s="3">
        <v>1</v>
      </c>
      <c r="G10" s="3">
        <v>0</v>
      </c>
      <c r="H10" s="3">
        <v>0</v>
      </c>
      <c r="I10" s="3">
        <v>160</v>
      </c>
      <c r="J10" s="3">
        <v>39</v>
      </c>
      <c r="K10" s="3">
        <v>2</v>
      </c>
      <c r="L10" s="3">
        <v>33</v>
      </c>
      <c r="M10" s="3">
        <v>12</v>
      </c>
      <c r="N10" s="3">
        <v>0.15</v>
      </c>
      <c r="O10" s="3">
        <v>0</v>
      </c>
      <c r="P10" s="3">
        <v>0.45</v>
      </c>
      <c r="Q10" s="3">
        <v>0.2</v>
      </c>
      <c r="R10" s="3">
        <v>150</v>
      </c>
      <c r="U10" s="89"/>
      <c r="V10" s="90"/>
      <c r="W10" s="90"/>
      <c r="X10" s="90"/>
      <c r="Y10" s="90"/>
      <c r="Z10" s="91"/>
      <c r="AE10" s="67"/>
    </row>
    <row r="11" spans="1:31" ht="40" customHeight="1" x14ac:dyDescent="0.25">
      <c r="A11" s="5" t="s">
        <v>29</v>
      </c>
      <c r="B11" s="5" t="s">
        <v>37</v>
      </c>
      <c r="C11" s="3" t="s">
        <v>32</v>
      </c>
      <c r="D11" s="3">
        <v>260</v>
      </c>
      <c r="E11" s="3">
        <v>8</v>
      </c>
      <c r="F11" s="3">
        <v>4.5</v>
      </c>
      <c r="G11" s="3">
        <v>0.2</v>
      </c>
      <c r="H11" s="3">
        <v>25</v>
      </c>
      <c r="I11" s="3">
        <v>140</v>
      </c>
      <c r="J11" s="3">
        <v>42</v>
      </c>
      <c r="K11" s="3">
        <v>2</v>
      </c>
      <c r="L11" s="3">
        <v>34</v>
      </c>
      <c r="M11" s="3">
        <v>13</v>
      </c>
      <c r="N11" s="3">
        <v>0.15</v>
      </c>
      <c r="O11" s="3">
        <v>0.02</v>
      </c>
      <c r="P11" s="3">
        <v>0.35</v>
      </c>
      <c r="Q11" s="3">
        <v>0.25</v>
      </c>
      <c r="R11" s="3">
        <v>175</v>
      </c>
      <c r="U11" s="82" t="s">
        <v>81</v>
      </c>
      <c r="V11" s="83"/>
      <c r="W11" s="83"/>
      <c r="X11" s="83"/>
      <c r="Y11" s="83"/>
      <c r="Z11" s="84"/>
      <c r="AE11" s="67"/>
    </row>
    <row r="12" spans="1:31" ht="20" customHeight="1" x14ac:dyDescent="0.25">
      <c r="A12" s="5" t="s">
        <v>29</v>
      </c>
      <c r="B12" s="5" t="s">
        <v>38</v>
      </c>
      <c r="C12" s="3" t="s">
        <v>32</v>
      </c>
      <c r="D12" s="3">
        <v>250</v>
      </c>
      <c r="E12" s="3">
        <v>6</v>
      </c>
      <c r="F12" s="3">
        <v>3.5</v>
      </c>
      <c r="G12" s="3">
        <v>0.2</v>
      </c>
      <c r="H12" s="3">
        <v>25</v>
      </c>
      <c r="I12" s="3">
        <v>150</v>
      </c>
      <c r="J12" s="3">
        <v>37</v>
      </c>
      <c r="K12" s="3">
        <v>0</v>
      </c>
      <c r="L12" s="3">
        <v>35</v>
      </c>
      <c r="M12" s="3">
        <v>12</v>
      </c>
      <c r="N12" s="3">
        <v>0.2</v>
      </c>
      <c r="O12" s="3">
        <v>0.02</v>
      </c>
      <c r="P12" s="3">
        <v>0.35</v>
      </c>
      <c r="Q12" s="3">
        <v>0</v>
      </c>
      <c r="R12" s="3">
        <v>150</v>
      </c>
      <c r="U12" s="82" t="s">
        <v>147</v>
      </c>
      <c r="V12" s="83"/>
      <c r="W12" s="83"/>
      <c r="X12" s="83"/>
      <c r="Y12" s="83"/>
      <c r="Z12" s="84"/>
      <c r="AE12" s="67"/>
    </row>
    <row r="13" spans="1:31" ht="20" customHeight="1" x14ac:dyDescent="0.25">
      <c r="A13" s="5" t="s">
        <v>29</v>
      </c>
      <c r="B13" s="5" t="s">
        <v>38</v>
      </c>
      <c r="C13" s="3" t="s">
        <v>36</v>
      </c>
      <c r="D13" s="3">
        <v>250</v>
      </c>
      <c r="E13" s="3">
        <v>0.3</v>
      </c>
      <c r="F13" s="3">
        <v>0.2</v>
      </c>
      <c r="G13" s="3">
        <v>0</v>
      </c>
      <c r="H13" s="3">
        <v>10</v>
      </c>
      <c r="I13" s="3">
        <v>180</v>
      </c>
      <c r="J13" s="3">
        <v>47</v>
      </c>
      <c r="K13" s="3">
        <v>0</v>
      </c>
      <c r="L13" s="3">
        <v>45</v>
      </c>
      <c r="M13" s="3">
        <v>15</v>
      </c>
      <c r="N13" s="3">
        <v>0.25</v>
      </c>
      <c r="O13" s="3">
        <v>0</v>
      </c>
      <c r="P13" s="3">
        <v>0.5</v>
      </c>
      <c r="Q13" s="3">
        <v>0</v>
      </c>
      <c r="R13" s="3">
        <v>150</v>
      </c>
      <c r="U13" s="82" t="s">
        <v>148</v>
      </c>
      <c r="V13" s="83"/>
      <c r="W13" s="83"/>
      <c r="X13" s="83"/>
      <c r="Y13" s="83"/>
      <c r="Z13" s="84"/>
      <c r="AE13" s="67"/>
    </row>
    <row r="14" spans="1:31" ht="20" customHeight="1" x14ac:dyDescent="0.25">
      <c r="A14" s="5" t="s">
        <v>29</v>
      </c>
      <c r="B14" s="5" t="s">
        <v>30</v>
      </c>
      <c r="C14" s="3" t="s">
        <v>32</v>
      </c>
      <c r="D14" s="3">
        <v>240</v>
      </c>
      <c r="E14" s="3">
        <v>9</v>
      </c>
      <c r="F14" s="3">
        <v>4.5</v>
      </c>
      <c r="G14" s="3">
        <v>0.3</v>
      </c>
      <c r="H14" s="3">
        <v>35</v>
      </c>
      <c r="I14" s="3">
        <v>220</v>
      </c>
      <c r="J14" s="3">
        <v>24</v>
      </c>
      <c r="K14" s="3">
        <v>0</v>
      </c>
      <c r="L14" s="3">
        <v>22</v>
      </c>
      <c r="M14" s="3">
        <v>16</v>
      </c>
      <c r="N14" s="3">
        <v>0.25</v>
      </c>
      <c r="O14" s="3">
        <v>0.02</v>
      </c>
      <c r="P14" s="3">
        <v>0.5</v>
      </c>
      <c r="Q14" s="3">
        <v>0</v>
      </c>
      <c r="R14" s="3">
        <v>150</v>
      </c>
      <c r="U14" s="82" t="s">
        <v>83</v>
      </c>
      <c r="V14" s="83"/>
      <c r="W14" s="83"/>
      <c r="X14" s="83"/>
      <c r="Y14" s="83"/>
      <c r="Z14" s="84"/>
    </row>
    <row r="15" spans="1:31" ht="40" x14ac:dyDescent="0.25">
      <c r="A15" s="5" t="s">
        <v>29</v>
      </c>
      <c r="B15" s="5" t="s">
        <v>37</v>
      </c>
      <c r="C15" s="3" t="s">
        <v>33</v>
      </c>
      <c r="D15" s="3">
        <v>230</v>
      </c>
      <c r="E15" s="3">
        <v>7</v>
      </c>
      <c r="F15" s="3">
        <v>2</v>
      </c>
      <c r="G15" s="3">
        <v>0</v>
      </c>
      <c r="H15" s="3">
        <v>0</v>
      </c>
      <c r="I15" s="3">
        <v>105</v>
      </c>
      <c r="J15" s="3">
        <v>37</v>
      </c>
      <c r="K15" s="3">
        <v>3</v>
      </c>
      <c r="L15" s="3">
        <v>26</v>
      </c>
      <c r="M15" s="3">
        <v>11</v>
      </c>
      <c r="N15" s="3">
        <v>0.1</v>
      </c>
      <c r="O15" s="3">
        <v>0</v>
      </c>
      <c r="P15" s="3">
        <v>0.35</v>
      </c>
      <c r="Q15" s="3">
        <v>0.4</v>
      </c>
      <c r="R15" s="3">
        <v>175</v>
      </c>
      <c r="U15" s="79" t="s">
        <v>149</v>
      </c>
      <c r="V15" s="80"/>
      <c r="W15" s="80"/>
      <c r="X15" s="80"/>
      <c r="Y15" s="80"/>
      <c r="Z15" s="81"/>
    </row>
    <row r="16" spans="1:31" ht="40" x14ac:dyDescent="0.25">
      <c r="A16" s="5" t="s">
        <v>29</v>
      </c>
      <c r="B16" s="5" t="s">
        <v>37</v>
      </c>
      <c r="C16" s="3" t="s">
        <v>35</v>
      </c>
      <c r="D16" s="3">
        <v>220</v>
      </c>
      <c r="E16" s="3">
        <v>2.5</v>
      </c>
      <c r="F16" s="3">
        <v>1.5</v>
      </c>
      <c r="G16" s="3">
        <v>0</v>
      </c>
      <c r="H16" s="3">
        <v>5</v>
      </c>
      <c r="I16" s="3">
        <v>125</v>
      </c>
      <c r="J16" s="3">
        <v>43</v>
      </c>
      <c r="K16" s="3">
        <v>2</v>
      </c>
      <c r="L16" s="3">
        <v>34</v>
      </c>
      <c r="M16" s="3">
        <v>13</v>
      </c>
      <c r="N16" s="3">
        <v>0.2</v>
      </c>
      <c r="O16" s="3">
        <v>0</v>
      </c>
      <c r="P16" s="3">
        <v>0.35</v>
      </c>
      <c r="Q16" s="3">
        <v>0.25</v>
      </c>
      <c r="R16" s="3">
        <v>175</v>
      </c>
    </row>
    <row r="17" spans="1:26" ht="40" x14ac:dyDescent="0.25">
      <c r="A17" s="5" t="s">
        <v>29</v>
      </c>
      <c r="B17" s="5" t="s">
        <v>38</v>
      </c>
      <c r="C17" s="3" t="s">
        <v>33</v>
      </c>
      <c r="D17" s="3">
        <v>210</v>
      </c>
      <c r="E17" s="3">
        <v>5</v>
      </c>
      <c r="F17" s="3">
        <v>0.5</v>
      </c>
      <c r="G17" s="3">
        <v>0</v>
      </c>
      <c r="H17" s="3">
        <v>0</v>
      </c>
      <c r="I17" s="3">
        <v>120</v>
      </c>
      <c r="J17" s="3">
        <v>31</v>
      </c>
      <c r="K17" s="3">
        <v>1</v>
      </c>
      <c r="L17" s="3">
        <v>26</v>
      </c>
      <c r="M17" s="3">
        <v>9</v>
      </c>
      <c r="N17" s="3">
        <v>0.1</v>
      </c>
      <c r="O17" s="3">
        <v>0</v>
      </c>
      <c r="P17" s="3">
        <v>0.35</v>
      </c>
      <c r="Q17" s="3">
        <v>0.15</v>
      </c>
      <c r="R17" s="3">
        <v>150</v>
      </c>
    </row>
    <row r="18" spans="1:26" ht="40" x14ac:dyDescent="0.25">
      <c r="A18" s="5" t="s">
        <v>29</v>
      </c>
      <c r="B18" s="5" t="s">
        <v>37</v>
      </c>
      <c r="C18" s="3" t="s">
        <v>32</v>
      </c>
      <c r="D18" s="3">
        <v>200</v>
      </c>
      <c r="E18" s="3">
        <v>6</v>
      </c>
      <c r="F18" s="3">
        <v>3.5</v>
      </c>
      <c r="G18" s="3">
        <v>0.1</v>
      </c>
      <c r="H18" s="3">
        <v>20</v>
      </c>
      <c r="I18" s="3">
        <v>115</v>
      </c>
      <c r="J18" s="3">
        <v>32</v>
      </c>
      <c r="K18" s="3">
        <v>1</v>
      </c>
      <c r="L18" s="3">
        <v>26</v>
      </c>
      <c r="M18" s="3">
        <v>10</v>
      </c>
      <c r="N18" s="3">
        <v>0.15</v>
      </c>
      <c r="O18" s="3">
        <v>0</v>
      </c>
      <c r="P18" s="3">
        <v>0.25</v>
      </c>
      <c r="Q18" s="3">
        <v>0.2</v>
      </c>
      <c r="R18" s="3">
        <v>95</v>
      </c>
      <c r="U18" s="77" t="s">
        <v>85</v>
      </c>
      <c r="V18" s="78"/>
      <c r="W18" s="78"/>
      <c r="X18" s="78"/>
      <c r="Y18" s="78"/>
      <c r="Z18" s="78"/>
    </row>
    <row r="19" spans="1:26" ht="40" x14ac:dyDescent="0.25">
      <c r="A19" s="5" t="s">
        <v>29</v>
      </c>
      <c r="B19" s="5" t="s">
        <v>38</v>
      </c>
      <c r="C19" s="3" t="s">
        <v>32</v>
      </c>
      <c r="D19" s="3">
        <v>200</v>
      </c>
      <c r="E19" s="3">
        <v>5</v>
      </c>
      <c r="F19" s="3">
        <v>2.5</v>
      </c>
      <c r="G19" s="3">
        <v>0.2</v>
      </c>
      <c r="H19" s="3">
        <v>20</v>
      </c>
      <c r="I19" s="3">
        <v>125</v>
      </c>
      <c r="J19" s="3">
        <v>28</v>
      </c>
      <c r="K19" s="3">
        <v>0</v>
      </c>
      <c r="L19" s="3">
        <v>27</v>
      </c>
      <c r="M19" s="3">
        <v>9</v>
      </c>
      <c r="N19" s="3">
        <v>0.15</v>
      </c>
      <c r="O19" s="3">
        <v>0</v>
      </c>
      <c r="P19" s="3">
        <v>0.3</v>
      </c>
      <c r="Q19" s="3">
        <v>0</v>
      </c>
      <c r="R19" s="3">
        <v>75</v>
      </c>
      <c r="U19"/>
    </row>
    <row r="20" spans="1:26" ht="40" x14ac:dyDescent="0.25">
      <c r="A20" s="5" t="s">
        <v>29</v>
      </c>
      <c r="B20" s="5" t="s">
        <v>38</v>
      </c>
      <c r="C20" s="3" t="s">
        <v>35</v>
      </c>
      <c r="D20" s="3">
        <v>200</v>
      </c>
      <c r="E20" s="3">
        <v>0.3</v>
      </c>
      <c r="F20" s="3">
        <v>0.2</v>
      </c>
      <c r="G20" s="3">
        <v>0</v>
      </c>
      <c r="H20" s="3">
        <v>5</v>
      </c>
      <c r="I20" s="3">
        <v>140</v>
      </c>
      <c r="J20" s="3">
        <v>37</v>
      </c>
      <c r="K20" s="3">
        <v>0</v>
      </c>
      <c r="L20" s="3">
        <v>35</v>
      </c>
      <c r="M20" s="3">
        <v>12</v>
      </c>
      <c r="N20" s="3">
        <v>0.2</v>
      </c>
      <c r="O20" s="3">
        <v>0</v>
      </c>
      <c r="P20" s="3">
        <v>0.35</v>
      </c>
      <c r="Q20" s="3">
        <v>0</v>
      </c>
      <c r="R20" s="3">
        <v>150</v>
      </c>
      <c r="U20" s="8" t="s">
        <v>92</v>
      </c>
    </row>
    <row r="21" spans="1:26" ht="20" x14ac:dyDescent="0.25">
      <c r="A21" s="5" t="s">
        <v>29</v>
      </c>
      <c r="B21" s="5" t="s">
        <v>30</v>
      </c>
      <c r="C21" s="3" t="s">
        <v>32</v>
      </c>
      <c r="D21" s="3">
        <v>190</v>
      </c>
      <c r="E21" s="3">
        <v>7</v>
      </c>
      <c r="F21" s="3">
        <v>3.5</v>
      </c>
      <c r="G21" s="3">
        <v>0.2</v>
      </c>
      <c r="H21" s="3">
        <v>30</v>
      </c>
      <c r="I21" s="3">
        <v>170</v>
      </c>
      <c r="J21" s="3">
        <v>19</v>
      </c>
      <c r="K21" s="3">
        <v>0</v>
      </c>
      <c r="L21" s="3">
        <v>17</v>
      </c>
      <c r="M21" s="3">
        <v>12</v>
      </c>
      <c r="N21" s="3">
        <v>0.2</v>
      </c>
      <c r="O21" s="3">
        <v>0.02</v>
      </c>
      <c r="P21" s="3">
        <v>0.4</v>
      </c>
      <c r="Q21" s="3">
        <v>0</v>
      </c>
      <c r="R21" s="3">
        <v>150</v>
      </c>
    </row>
    <row r="22" spans="1:26" ht="20" x14ac:dyDescent="0.25">
      <c r="A22" s="5" t="s">
        <v>29</v>
      </c>
      <c r="B22" s="5" t="s">
        <v>30</v>
      </c>
      <c r="C22" s="3" t="s">
        <v>33</v>
      </c>
      <c r="D22" s="3">
        <v>190</v>
      </c>
      <c r="E22" s="3">
        <v>7</v>
      </c>
      <c r="F22" s="3">
        <v>1</v>
      </c>
      <c r="G22" s="3">
        <v>0</v>
      </c>
      <c r="H22" s="3">
        <v>0</v>
      </c>
      <c r="I22" s="3">
        <v>170</v>
      </c>
      <c r="J22" s="3">
        <v>16</v>
      </c>
      <c r="K22" s="3">
        <v>2</v>
      </c>
      <c r="L22" s="3">
        <v>11</v>
      </c>
      <c r="M22" s="3">
        <v>13</v>
      </c>
      <c r="N22" s="3">
        <v>0.2</v>
      </c>
      <c r="O22" s="3">
        <v>0</v>
      </c>
      <c r="P22" s="3">
        <v>0.5</v>
      </c>
      <c r="Q22" s="3">
        <v>0.25</v>
      </c>
      <c r="R22" s="3">
        <v>150</v>
      </c>
      <c r="U22" s="46" t="s">
        <v>86</v>
      </c>
      <c r="V22" s="47" t="s">
        <v>87</v>
      </c>
      <c r="W22" s="47" t="s">
        <v>88</v>
      </c>
      <c r="X22" s="47" t="s">
        <v>89</v>
      </c>
      <c r="Y22" s="47" t="s">
        <v>90</v>
      </c>
      <c r="Z22" s="48" t="s">
        <v>91</v>
      </c>
    </row>
    <row r="23" spans="1:26" ht="40" x14ac:dyDescent="0.25">
      <c r="A23" s="5" t="s">
        <v>29</v>
      </c>
      <c r="B23" s="5" t="s">
        <v>37</v>
      </c>
      <c r="C23" s="3" t="s">
        <v>33</v>
      </c>
      <c r="D23" s="3">
        <v>180</v>
      </c>
      <c r="E23" s="3">
        <v>5</v>
      </c>
      <c r="F23" s="3">
        <v>1.5</v>
      </c>
      <c r="G23" s="3">
        <v>0</v>
      </c>
      <c r="H23" s="3">
        <v>0</v>
      </c>
      <c r="I23" s="3">
        <v>85</v>
      </c>
      <c r="J23" s="3">
        <v>28</v>
      </c>
      <c r="K23" s="3">
        <v>2</v>
      </c>
      <c r="L23" s="3">
        <v>20</v>
      </c>
      <c r="M23" s="3">
        <v>9</v>
      </c>
      <c r="N23" s="3">
        <v>0.1</v>
      </c>
      <c r="O23" s="3">
        <v>0</v>
      </c>
      <c r="P23" s="3">
        <v>0.25</v>
      </c>
      <c r="Q23" s="3">
        <v>0.3</v>
      </c>
      <c r="R23" s="3">
        <v>95</v>
      </c>
      <c r="U23" s="49" t="s">
        <v>63</v>
      </c>
      <c r="V23" s="50">
        <f>AVERAGEIF($A$6:$A$247, "Smoothies", $D$6:$D$247)</f>
        <v>282.22222222222223</v>
      </c>
      <c r="W23" s="51">
        <f>AVERAGEIF($A$6:$A$247, "Smoothies", $L$6:$L$247)</f>
        <v>36.777777777777779</v>
      </c>
      <c r="X23" s="51">
        <f>AVERAGEIF($A$6:$A$247, "Smoothies", $R$6:$R$247)</f>
        <v>5.625</v>
      </c>
      <c r="Y23" s="51">
        <f>AVERAGEIF($A$6:$A$247, "Coffee", $E$6:$E$247)</f>
        <v>0.1</v>
      </c>
      <c r="Z23" s="52">
        <f>COUNTIF($A$6:$A$247, "Smoothies")</f>
        <v>9</v>
      </c>
    </row>
    <row r="24" spans="1:26" ht="20" x14ac:dyDescent="0.25">
      <c r="A24" s="5" t="s">
        <v>29</v>
      </c>
      <c r="B24" s="5" t="s">
        <v>30</v>
      </c>
      <c r="C24" s="3" t="s">
        <v>36</v>
      </c>
      <c r="D24" s="3">
        <v>170</v>
      </c>
      <c r="E24" s="3">
        <v>0.4</v>
      </c>
      <c r="F24" s="3">
        <v>0.3</v>
      </c>
      <c r="G24" s="3">
        <v>0</v>
      </c>
      <c r="H24" s="3">
        <v>10</v>
      </c>
      <c r="I24" s="3">
        <v>190</v>
      </c>
      <c r="J24" s="3">
        <v>25</v>
      </c>
      <c r="K24" s="3">
        <v>0</v>
      </c>
      <c r="L24" s="3">
        <v>23</v>
      </c>
      <c r="M24" s="3">
        <v>16</v>
      </c>
      <c r="N24" s="3">
        <v>0.3</v>
      </c>
      <c r="O24" s="3">
        <v>0</v>
      </c>
      <c r="P24" s="3">
        <v>0.5</v>
      </c>
      <c r="Q24" s="3">
        <v>0</v>
      </c>
      <c r="R24" s="3">
        <v>150</v>
      </c>
      <c r="U24" s="53" t="s">
        <v>67</v>
      </c>
      <c r="V24" s="50">
        <f>AVERAGEIF($A$6:$A$247, "Frappuccino® Blended Coffee", $D$6:$D$247)</f>
        <v>276.94444444444446</v>
      </c>
      <c r="W24" s="51">
        <f>AVERAGEIF($A$6:$A$247, "Frappuccino® Blended Coffee", $L$6:$L$247)</f>
        <v>57.083333333333336</v>
      </c>
      <c r="X24" s="51">
        <f>AVERAGEIF($A$6:$A$247, "Frappuccino® Blended Coffee", $R$6:$R$247)</f>
        <v>101.80555555555556</v>
      </c>
      <c r="Y24" s="51">
        <f>AVERAGEIF($A$6:$A$247, "Frappuccino® Blended Coffee", $E$6:$E$247)</f>
        <v>3.0027777777777773</v>
      </c>
      <c r="Z24" s="52">
        <f>COUNTIF($A$6:$A$247, "Frappuccino® Blended Coffee")</f>
        <v>36</v>
      </c>
    </row>
    <row r="25" spans="1:26" ht="40" x14ac:dyDescent="0.25">
      <c r="A25" s="5" t="s">
        <v>29</v>
      </c>
      <c r="B25" s="5" t="s">
        <v>37</v>
      </c>
      <c r="C25" s="3" t="s">
        <v>34</v>
      </c>
      <c r="D25" s="3">
        <v>170</v>
      </c>
      <c r="E25" s="3">
        <v>2</v>
      </c>
      <c r="F25" s="3">
        <v>1</v>
      </c>
      <c r="G25" s="3">
        <v>0</v>
      </c>
      <c r="H25" s="3">
        <v>5</v>
      </c>
      <c r="I25" s="3">
        <v>100</v>
      </c>
      <c r="J25" s="3">
        <v>32</v>
      </c>
      <c r="K25" s="3">
        <v>1</v>
      </c>
      <c r="L25" s="3">
        <v>27</v>
      </c>
      <c r="M25" s="3">
        <v>10</v>
      </c>
      <c r="N25" s="3">
        <v>0.15</v>
      </c>
      <c r="O25" s="3">
        <v>0</v>
      </c>
      <c r="P25" s="3">
        <v>0.25</v>
      </c>
      <c r="Q25" s="3">
        <v>0.2</v>
      </c>
      <c r="R25" s="3">
        <v>95</v>
      </c>
      <c r="U25" s="49" t="s">
        <v>45</v>
      </c>
      <c r="V25" s="50">
        <f>AVERAGEIF($A$6:$A$247, "Signature Espresso Drinks", $D$6:$D$247)</f>
        <v>250</v>
      </c>
      <c r="W25" s="51">
        <f>AVERAGEIF($A$6:$A$247, "Signature Espresso Drinks", $L$6:$L$247)</f>
        <v>38.6</v>
      </c>
      <c r="X25" s="51">
        <f>AVERAGEIF($A$6:$A$247, "Signature Espresso Drinks", $R$6:$R$247)</f>
        <v>73.875</v>
      </c>
      <c r="Y25" s="51">
        <f>AVERAGEIF($A$6:$A$247, "Signature Espresso Drinks", $E$6:$E$247)</f>
        <v>5.2750000000000004</v>
      </c>
      <c r="Z25" s="52">
        <f>COUNTIF($A$6:$A$247, "Signature Espresso Drinks")</f>
        <v>40</v>
      </c>
    </row>
    <row r="26" spans="1:26" ht="40" x14ac:dyDescent="0.25">
      <c r="A26" s="5" t="s">
        <v>29</v>
      </c>
      <c r="B26" s="5" t="s">
        <v>38</v>
      </c>
      <c r="C26" s="3" t="s">
        <v>33</v>
      </c>
      <c r="D26" s="3">
        <v>160</v>
      </c>
      <c r="E26" s="3">
        <v>4</v>
      </c>
      <c r="F26" s="3">
        <v>0.5</v>
      </c>
      <c r="G26" s="3">
        <v>0</v>
      </c>
      <c r="H26" s="3">
        <v>0</v>
      </c>
      <c r="I26" s="3">
        <v>95</v>
      </c>
      <c r="J26" s="3">
        <v>23</v>
      </c>
      <c r="K26" s="3">
        <v>1</v>
      </c>
      <c r="L26" s="3">
        <v>20</v>
      </c>
      <c r="M26" s="3">
        <v>7</v>
      </c>
      <c r="N26" s="3">
        <v>0.1</v>
      </c>
      <c r="O26" s="3">
        <v>0</v>
      </c>
      <c r="P26" s="3">
        <v>0.3</v>
      </c>
      <c r="Q26" s="3">
        <v>0.15</v>
      </c>
      <c r="R26" s="3">
        <v>75</v>
      </c>
      <c r="U26" s="49" t="s">
        <v>45</v>
      </c>
      <c r="V26" s="50">
        <f>AVERAGEIF($A$6:$A$247, "Signature Espresso Drinks", $D$6:$D$247)</f>
        <v>250</v>
      </c>
      <c r="W26" s="51">
        <f>AVERAGEIF($A$6:$A$247, "Signature Espresso Drinks", $L$6:$L$247)</f>
        <v>38.6</v>
      </c>
      <c r="X26" s="51">
        <f>AVERAGEIF($A$6:$A$247, "Signature Espresso Drinks", $R$6:$R$247)</f>
        <v>73.875</v>
      </c>
      <c r="Y26" s="51">
        <f>AVERAGEIF($A$6:$A$247, "Coffee", $E$6:$E$247)</f>
        <v>0.1</v>
      </c>
      <c r="Z26" s="52">
        <f>COUNTIF($A$6:$A$247, "Signature Espresso Drinks")</f>
        <v>40</v>
      </c>
    </row>
    <row r="27" spans="1:26" ht="20" x14ac:dyDescent="0.25">
      <c r="A27" s="5" t="s">
        <v>29</v>
      </c>
      <c r="B27" s="5" t="s">
        <v>44</v>
      </c>
      <c r="C27" s="3" t="s">
        <v>36</v>
      </c>
      <c r="D27" s="3">
        <v>160</v>
      </c>
      <c r="E27" s="3">
        <v>0.3</v>
      </c>
      <c r="F27" s="3">
        <v>0.2</v>
      </c>
      <c r="G27" s="3">
        <v>0</v>
      </c>
      <c r="H27" s="3">
        <v>10</v>
      </c>
      <c r="I27" s="3">
        <v>200</v>
      </c>
      <c r="J27" s="3">
        <v>24</v>
      </c>
      <c r="K27" s="3">
        <v>0</v>
      </c>
      <c r="L27" s="3">
        <v>21</v>
      </c>
      <c r="M27" s="3">
        <v>15</v>
      </c>
      <c r="N27" s="3">
        <v>0.25</v>
      </c>
      <c r="O27" s="3">
        <v>0</v>
      </c>
      <c r="P27" s="3">
        <v>0.5</v>
      </c>
      <c r="Q27" s="3">
        <v>0</v>
      </c>
      <c r="R27" s="3">
        <v>150</v>
      </c>
      <c r="U27" s="53" t="s">
        <v>76</v>
      </c>
      <c r="V27" s="50">
        <f>AVERAGEIF($A$6:$A$247, "Frappuccino® Blended Crème", $D$6:$D$247)</f>
        <v>233.07692307692307</v>
      </c>
      <c r="W27" s="51">
        <f>AVERAGEIF($A$6:$A$247, "Frappuccino® Blended Crème", $L$6:$L$247)</f>
        <v>48.46153846153846</v>
      </c>
      <c r="X27" s="51">
        <f>AVERAGEIF($A$6:$A$247, "Frappuccino® Blended Crème", $R$6:$R$247)</f>
        <v>0</v>
      </c>
      <c r="Y27" s="51">
        <f>AVERAGEIF($A$6:$A$247, "Frappuccino® Blended Crème", $E$6:$E$247)</f>
        <v>1.8500000000000003</v>
      </c>
      <c r="Z27" s="52">
        <f>COUNTIF($A$6:$A$247, "Frappuccino® Blended Crème")</f>
        <v>13</v>
      </c>
    </row>
    <row r="28" spans="1:26" ht="20" x14ac:dyDescent="0.25">
      <c r="A28" s="5" t="s">
        <v>29</v>
      </c>
      <c r="B28" s="5" t="s">
        <v>30</v>
      </c>
      <c r="C28" s="3" t="s">
        <v>32</v>
      </c>
      <c r="D28" s="3">
        <v>150</v>
      </c>
      <c r="E28" s="3">
        <v>6</v>
      </c>
      <c r="F28" s="3">
        <v>3</v>
      </c>
      <c r="G28" s="3">
        <v>0.2</v>
      </c>
      <c r="H28" s="3">
        <v>25</v>
      </c>
      <c r="I28" s="3">
        <v>135</v>
      </c>
      <c r="J28" s="3">
        <v>15</v>
      </c>
      <c r="K28" s="3">
        <v>0</v>
      </c>
      <c r="L28" s="3">
        <v>14</v>
      </c>
      <c r="M28" s="3">
        <v>10</v>
      </c>
      <c r="N28" s="3">
        <v>0.15</v>
      </c>
      <c r="O28" s="3">
        <v>0</v>
      </c>
      <c r="P28" s="3">
        <v>0.3</v>
      </c>
      <c r="Q28" s="3">
        <v>0</v>
      </c>
      <c r="R28" s="3">
        <v>75</v>
      </c>
      <c r="U28" s="49" t="s">
        <v>50</v>
      </c>
      <c r="V28" s="50">
        <f>AVERAGEIF($A$6:$A$247, "Tazo® Tea Drinks", $D$6:$D$247)</f>
        <v>177.30769230769232</v>
      </c>
      <c r="W28" s="51">
        <f>AVERAGEIF($A$6:$A$247, "Tazo® Tea Drinks", $L$6:$L$247)</f>
        <v>30.307692307692307</v>
      </c>
      <c r="X28" s="51">
        <f>AVERAGEIF($A$6:$A$247, "Tazo® Tea Drinks", $R$6:$R$247)</f>
        <v>50.416666666666664</v>
      </c>
      <c r="Y28" s="51">
        <f>AVERAGEIF($A$6:$A$247, "Coffee", $E$6:$E$247)</f>
        <v>0.1</v>
      </c>
      <c r="Z28" s="52">
        <f>COUNTIF($A$6:$A$247, "Tazo® Tea Drinks")</f>
        <v>52</v>
      </c>
    </row>
    <row r="29" spans="1:26" ht="20" x14ac:dyDescent="0.25">
      <c r="A29" s="5" t="s">
        <v>29</v>
      </c>
      <c r="B29" s="5" t="s">
        <v>30</v>
      </c>
      <c r="C29" s="3" t="s">
        <v>33</v>
      </c>
      <c r="D29" s="3">
        <v>150</v>
      </c>
      <c r="E29" s="3">
        <v>5</v>
      </c>
      <c r="F29" s="3">
        <v>0.5</v>
      </c>
      <c r="G29" s="3">
        <v>0</v>
      </c>
      <c r="H29" s="3">
        <v>0</v>
      </c>
      <c r="I29" s="3">
        <v>130</v>
      </c>
      <c r="J29" s="3">
        <v>13</v>
      </c>
      <c r="K29" s="3">
        <v>1</v>
      </c>
      <c r="L29" s="3">
        <v>8</v>
      </c>
      <c r="M29" s="3">
        <v>10</v>
      </c>
      <c r="N29" s="3">
        <v>0.15</v>
      </c>
      <c r="O29" s="3">
        <v>0</v>
      </c>
      <c r="P29" s="3">
        <v>0.4</v>
      </c>
      <c r="Q29" s="3">
        <v>0.15</v>
      </c>
      <c r="R29" s="3">
        <v>150</v>
      </c>
      <c r="U29" s="49" t="s">
        <v>72</v>
      </c>
      <c r="V29" s="50">
        <f>AVERAGEIF($A$6:$A$247, "Frappuccino® Light Blended Coffee", $D$6:$D$247)</f>
        <v>162.5</v>
      </c>
      <c r="W29" s="51">
        <f>AVERAGEIF($A$6:$A$247, "Frappuccino® Light Blended Coffee", $L$6:$L$247)</f>
        <v>32.416666666666664</v>
      </c>
      <c r="X29" s="51">
        <f>AVERAGEIF($A$6:$A$247, "Frappuccino® Light Blended Coffee", $R$6:$R$247)</f>
        <v>99.583333333333329</v>
      </c>
      <c r="Y29" s="51">
        <f>AVERAGEIF($A$6:$A$247, "Frappuccino® Light Blended Coffee", $E$6:$E$247)</f>
        <v>1.2583333333333331</v>
      </c>
      <c r="Z29" s="52">
        <f>COUNTIF($A$6:$A$247, "Frappuccino® Light Blended Coffee")</f>
        <v>12</v>
      </c>
    </row>
    <row r="30" spans="1:26" ht="40" x14ac:dyDescent="0.25">
      <c r="A30" s="5" t="s">
        <v>29</v>
      </c>
      <c r="B30" s="5" t="s">
        <v>38</v>
      </c>
      <c r="C30" s="3" t="s">
        <v>34</v>
      </c>
      <c r="D30" s="3">
        <v>150</v>
      </c>
      <c r="E30" s="3">
        <v>0.2</v>
      </c>
      <c r="F30" s="3">
        <v>0.1</v>
      </c>
      <c r="G30" s="3">
        <v>0</v>
      </c>
      <c r="H30" s="3">
        <v>5</v>
      </c>
      <c r="I30" s="3">
        <v>110</v>
      </c>
      <c r="J30" s="3">
        <v>28</v>
      </c>
      <c r="K30" s="3">
        <v>0</v>
      </c>
      <c r="L30" s="3">
        <v>27</v>
      </c>
      <c r="M30" s="3">
        <v>9</v>
      </c>
      <c r="N30" s="3">
        <v>0.15</v>
      </c>
      <c r="O30" s="3">
        <v>0</v>
      </c>
      <c r="P30" s="3">
        <v>0.3</v>
      </c>
      <c r="Q30" s="3">
        <v>0</v>
      </c>
      <c r="R30" s="3">
        <v>75</v>
      </c>
      <c r="U30" s="49" t="s">
        <v>29</v>
      </c>
      <c r="V30" s="51">
        <f>AVERAGEIF($A$6:$A$247, "Classic Espresso Drinks", $D$6:$D$247)</f>
        <v>140.17241379310346</v>
      </c>
      <c r="W30" s="51">
        <f>AVERAGEIF($A$6:$A$247, "Classic Espresso Drinks", $L$6:$L$247)</f>
        <v>16.96551724137931</v>
      </c>
      <c r="X30" s="51">
        <f>AVERAGEIF($A$6:$A$247, "Signature Espresso Drinks", $R$6:$R$247)</f>
        <v>73.875</v>
      </c>
      <c r="Y30" s="51">
        <f>AVERAGEIF($A$6:$A$247, "Classic Espresso Drinks", $E$6:$E$247)</f>
        <v>3.127586206896551</v>
      </c>
      <c r="Z30" s="52">
        <f>COUNTIF($A$6:$A$247, "Classic Espresso Drinks")</f>
        <v>58</v>
      </c>
    </row>
    <row r="31" spans="1:26" ht="20" x14ac:dyDescent="0.25">
      <c r="A31" s="5" t="s">
        <v>29</v>
      </c>
      <c r="B31" s="5" t="s">
        <v>40</v>
      </c>
      <c r="C31" s="3" t="s">
        <v>32</v>
      </c>
      <c r="D31" s="3">
        <v>150</v>
      </c>
      <c r="E31" s="3">
        <v>6</v>
      </c>
      <c r="F31" s="3">
        <v>3</v>
      </c>
      <c r="G31" s="3">
        <v>0.2</v>
      </c>
      <c r="H31" s="3">
        <v>25</v>
      </c>
      <c r="I31" s="3">
        <v>135</v>
      </c>
      <c r="J31" s="3">
        <v>16</v>
      </c>
      <c r="K31" s="3">
        <v>0</v>
      </c>
      <c r="L31" s="3">
        <v>14</v>
      </c>
      <c r="M31" s="3">
        <v>10</v>
      </c>
      <c r="N31" s="3">
        <v>0.15</v>
      </c>
      <c r="O31" s="3">
        <v>0</v>
      </c>
      <c r="P31" s="3">
        <v>0.3</v>
      </c>
      <c r="Q31" s="3">
        <v>0</v>
      </c>
      <c r="R31" s="3">
        <v>150</v>
      </c>
      <c r="U31" s="53" t="s">
        <v>58</v>
      </c>
      <c r="V31" s="50">
        <f>AVERAGEIF($A$6:$A$247, "Shaken Iced Beverages", $D$6:$D$247)</f>
        <v>114.44444444444444</v>
      </c>
      <c r="W31" s="51">
        <f>AVERAGEIF($A$6:$A$247, "Shaken Iced Beverages", $L$6:$L$247)</f>
        <v>26</v>
      </c>
      <c r="X31" s="51">
        <f>AVERAGEIF($A$6:$A$247, "Shaken Iced Beverages", $R$6:$R$247)</f>
        <v>134.61538461538461</v>
      </c>
      <c r="Y31" s="51">
        <f>AVERAGEIF($A$6:$A$247, "Shaken Iced Beverages", $E$6:$E$247)</f>
        <v>0.47222222222222221</v>
      </c>
      <c r="Z31" s="52">
        <f>COUNTIF($A$6:$A$247, "Shaken Iced Beverages")</f>
        <v>18</v>
      </c>
    </row>
    <row r="32" spans="1:26" ht="20" x14ac:dyDescent="0.25">
      <c r="A32" s="5" t="s">
        <v>29</v>
      </c>
      <c r="B32" s="5" t="s">
        <v>30</v>
      </c>
      <c r="C32" s="3" t="s">
        <v>35</v>
      </c>
      <c r="D32" s="3">
        <v>130</v>
      </c>
      <c r="E32" s="3">
        <v>0.3</v>
      </c>
      <c r="F32" s="3">
        <v>0.2</v>
      </c>
      <c r="G32" s="3">
        <v>0</v>
      </c>
      <c r="H32" s="3">
        <v>5</v>
      </c>
      <c r="I32" s="3">
        <v>150</v>
      </c>
      <c r="J32" s="3">
        <v>19</v>
      </c>
      <c r="K32" s="3">
        <v>0</v>
      </c>
      <c r="L32" s="3">
        <v>18</v>
      </c>
      <c r="M32" s="3">
        <v>13</v>
      </c>
      <c r="N32" s="3">
        <v>0.2</v>
      </c>
      <c r="O32" s="3">
        <v>0</v>
      </c>
      <c r="P32" s="3">
        <v>0.4</v>
      </c>
      <c r="Q32" s="3">
        <v>0</v>
      </c>
      <c r="R32" s="3">
        <v>150</v>
      </c>
      <c r="U32" s="54" t="s">
        <v>23</v>
      </c>
      <c r="V32" s="55">
        <f>AVERAGEIF($A$6:$A$247, "Coffee", $D$6:$D$247)</f>
        <v>4.25</v>
      </c>
      <c r="W32" s="56">
        <f>AVERAGEIF($A$6:$A$247, "Coffee", $L$6:$L$247)</f>
        <v>0</v>
      </c>
      <c r="X32" s="56">
        <f>AVERAGEIF($A$6:$A$247, "Coffee", $R$6:$R$247)</f>
        <v>293.75</v>
      </c>
      <c r="Y32" s="56">
        <f>AVERAGEIF($A$6:$A$247, "Coffee", $E$6:$E$247)</f>
        <v>0.1</v>
      </c>
      <c r="Z32" s="45">
        <f>COUNTIF($A$6:$A$247, "Coffee")</f>
        <v>4</v>
      </c>
    </row>
    <row r="33" spans="1:25" ht="40" x14ac:dyDescent="0.25">
      <c r="A33" s="5" t="s">
        <v>29</v>
      </c>
      <c r="B33" s="5" t="s">
        <v>37</v>
      </c>
      <c r="C33" s="3" t="s">
        <v>32</v>
      </c>
      <c r="D33" s="3">
        <v>130</v>
      </c>
      <c r="E33" s="3">
        <v>4</v>
      </c>
      <c r="F33" s="3">
        <v>2</v>
      </c>
      <c r="G33" s="3">
        <v>0.1</v>
      </c>
      <c r="H33" s="3">
        <v>10</v>
      </c>
      <c r="I33" s="3">
        <v>70</v>
      </c>
      <c r="J33" s="3">
        <v>21</v>
      </c>
      <c r="K33" s="3">
        <v>1</v>
      </c>
      <c r="L33" s="3">
        <v>17</v>
      </c>
      <c r="M33" s="3">
        <v>6</v>
      </c>
      <c r="N33" s="3">
        <v>0.08</v>
      </c>
      <c r="O33" s="3">
        <v>0</v>
      </c>
      <c r="P33" s="3">
        <v>0.15</v>
      </c>
      <c r="Q33" s="3">
        <v>0.1</v>
      </c>
      <c r="R33" s="3">
        <v>85</v>
      </c>
    </row>
    <row r="34" spans="1:25" ht="40" x14ac:dyDescent="0.25">
      <c r="A34" s="5" t="s">
        <v>29</v>
      </c>
      <c r="B34" s="5" t="s">
        <v>38</v>
      </c>
      <c r="C34" s="3" t="s">
        <v>32</v>
      </c>
      <c r="D34" s="3">
        <v>130</v>
      </c>
      <c r="E34" s="3">
        <v>3.5</v>
      </c>
      <c r="F34" s="3">
        <v>1.5</v>
      </c>
      <c r="G34" s="3">
        <v>0.1</v>
      </c>
      <c r="H34" s="3">
        <v>15</v>
      </c>
      <c r="I34" s="3">
        <v>80</v>
      </c>
      <c r="J34" s="3">
        <v>18</v>
      </c>
      <c r="K34" s="3">
        <v>0</v>
      </c>
      <c r="L34" s="3">
        <v>17</v>
      </c>
      <c r="M34" s="3">
        <v>6</v>
      </c>
      <c r="N34" s="3">
        <v>0.1</v>
      </c>
      <c r="O34" s="3">
        <v>0</v>
      </c>
      <c r="P34" s="3">
        <v>0.2</v>
      </c>
      <c r="Q34" s="3">
        <v>0</v>
      </c>
      <c r="R34" s="3">
        <v>75</v>
      </c>
      <c r="U34" s="8" t="s">
        <v>93</v>
      </c>
    </row>
    <row r="35" spans="1:25" ht="20" x14ac:dyDescent="0.25">
      <c r="A35" s="5" t="s">
        <v>29</v>
      </c>
      <c r="B35" s="5" t="s">
        <v>40</v>
      </c>
      <c r="C35" s="3" t="s">
        <v>32</v>
      </c>
      <c r="D35" s="3">
        <v>120</v>
      </c>
      <c r="E35" s="3">
        <v>4</v>
      </c>
      <c r="F35" s="3">
        <v>2</v>
      </c>
      <c r="G35" s="3">
        <v>0.1</v>
      </c>
      <c r="H35" s="3">
        <v>15</v>
      </c>
      <c r="I35" s="3">
        <v>100</v>
      </c>
      <c r="J35" s="3">
        <v>12</v>
      </c>
      <c r="K35" s="3">
        <v>0</v>
      </c>
      <c r="L35" s="3">
        <v>10</v>
      </c>
      <c r="M35" s="3">
        <v>8</v>
      </c>
      <c r="N35" s="3">
        <v>0.1</v>
      </c>
      <c r="O35" s="3">
        <v>0</v>
      </c>
      <c r="P35" s="3">
        <v>0.25</v>
      </c>
      <c r="Q35" s="3">
        <v>0</v>
      </c>
      <c r="R35" s="3">
        <v>150</v>
      </c>
    </row>
    <row r="36" spans="1:25" ht="20" x14ac:dyDescent="0.25">
      <c r="A36" s="5" t="s">
        <v>29</v>
      </c>
      <c r="B36" s="5" t="s">
        <v>40</v>
      </c>
      <c r="C36" s="3" t="s">
        <v>33</v>
      </c>
      <c r="D36" s="3">
        <v>120</v>
      </c>
      <c r="E36" s="3">
        <v>4.5</v>
      </c>
      <c r="F36" s="3">
        <v>0.5</v>
      </c>
      <c r="G36" s="3">
        <v>0</v>
      </c>
      <c r="H36" s="3">
        <v>0</v>
      </c>
      <c r="I36" s="3">
        <v>110</v>
      </c>
      <c r="J36" s="3">
        <v>11</v>
      </c>
      <c r="K36" s="3">
        <v>1</v>
      </c>
      <c r="L36" s="3">
        <v>7</v>
      </c>
      <c r="M36" s="3">
        <v>9</v>
      </c>
      <c r="N36" s="3">
        <v>0.1</v>
      </c>
      <c r="O36" s="3">
        <v>0</v>
      </c>
      <c r="P36" s="3">
        <v>0.35</v>
      </c>
      <c r="Q36" s="3">
        <v>0.15</v>
      </c>
      <c r="R36" s="3">
        <v>150</v>
      </c>
      <c r="U36" s="57" t="s">
        <v>96</v>
      </c>
      <c r="V36" s="58" t="s">
        <v>97</v>
      </c>
      <c r="W36" s="58" t="s">
        <v>8</v>
      </c>
      <c r="X36" s="58" t="s">
        <v>94</v>
      </c>
      <c r="Y36" s="59" t="s">
        <v>95</v>
      </c>
    </row>
    <row r="37" spans="1:25" ht="100" x14ac:dyDescent="0.25">
      <c r="A37" s="5" t="s">
        <v>29</v>
      </c>
      <c r="B37" s="5" t="s">
        <v>44</v>
      </c>
      <c r="C37" s="3" t="s">
        <v>35</v>
      </c>
      <c r="D37" s="3">
        <v>120</v>
      </c>
      <c r="E37" s="3">
        <v>0.3</v>
      </c>
      <c r="F37" s="3">
        <v>0.2</v>
      </c>
      <c r="G37" s="3">
        <v>0</v>
      </c>
      <c r="H37" s="3">
        <v>5</v>
      </c>
      <c r="I37" s="3">
        <v>160</v>
      </c>
      <c r="J37" s="3">
        <v>18</v>
      </c>
      <c r="K37" s="3">
        <v>0</v>
      </c>
      <c r="L37" s="3">
        <v>16</v>
      </c>
      <c r="M37" s="3">
        <v>12</v>
      </c>
      <c r="N37" s="3">
        <v>0.2</v>
      </c>
      <c r="O37" s="3">
        <v>0</v>
      </c>
      <c r="P37" s="3">
        <v>0.35</v>
      </c>
      <c r="Q37" s="3">
        <v>0</v>
      </c>
      <c r="R37" s="3">
        <v>150</v>
      </c>
      <c r="U37" s="49" t="s">
        <v>45</v>
      </c>
      <c r="V37" s="60" t="s">
        <v>47</v>
      </c>
      <c r="W37" s="50">
        <v>510</v>
      </c>
      <c r="X37" s="50">
        <v>74</v>
      </c>
      <c r="Y37" s="61">
        <v>15</v>
      </c>
    </row>
    <row r="38" spans="1:25" ht="100" x14ac:dyDescent="0.25">
      <c r="A38" s="5" t="s">
        <v>29</v>
      </c>
      <c r="B38" s="5" t="s">
        <v>30</v>
      </c>
      <c r="C38" s="3" t="s">
        <v>33</v>
      </c>
      <c r="D38" s="3">
        <v>110</v>
      </c>
      <c r="E38" s="3">
        <v>4.5</v>
      </c>
      <c r="F38" s="3">
        <v>0.5</v>
      </c>
      <c r="G38" s="3">
        <v>0</v>
      </c>
      <c r="H38" s="3">
        <v>0</v>
      </c>
      <c r="I38" s="3">
        <v>105</v>
      </c>
      <c r="J38" s="3">
        <v>10</v>
      </c>
      <c r="K38" s="3">
        <v>1</v>
      </c>
      <c r="L38" s="3">
        <v>6</v>
      </c>
      <c r="M38" s="3">
        <v>8</v>
      </c>
      <c r="N38" s="3">
        <v>0.1</v>
      </c>
      <c r="O38" s="3">
        <v>0</v>
      </c>
      <c r="P38" s="3">
        <v>0.3</v>
      </c>
      <c r="Q38" s="3">
        <v>0.15</v>
      </c>
      <c r="R38" s="3">
        <v>75</v>
      </c>
      <c r="U38" s="49" t="s">
        <v>45</v>
      </c>
      <c r="V38" s="62" t="s">
        <v>47</v>
      </c>
      <c r="W38" s="50">
        <v>460</v>
      </c>
      <c r="X38" s="50">
        <v>64</v>
      </c>
      <c r="Y38" s="61">
        <v>13</v>
      </c>
    </row>
    <row r="39" spans="1:25" ht="80" x14ac:dyDescent="0.25">
      <c r="A39" s="5" t="s">
        <v>29</v>
      </c>
      <c r="B39" s="5" t="s">
        <v>37</v>
      </c>
      <c r="C39" s="3" t="s">
        <v>31</v>
      </c>
      <c r="D39" s="3">
        <v>110</v>
      </c>
      <c r="E39" s="3">
        <v>1.5</v>
      </c>
      <c r="F39" s="3">
        <v>1</v>
      </c>
      <c r="G39" s="3">
        <v>0</v>
      </c>
      <c r="H39" s="3">
        <v>5</v>
      </c>
      <c r="I39" s="3">
        <v>60</v>
      </c>
      <c r="J39" s="3">
        <v>21</v>
      </c>
      <c r="K39" s="3">
        <v>1</v>
      </c>
      <c r="L39" s="3">
        <v>17</v>
      </c>
      <c r="M39" s="3">
        <v>7</v>
      </c>
      <c r="N39" s="3">
        <v>0.08</v>
      </c>
      <c r="O39" s="3">
        <v>0</v>
      </c>
      <c r="P39" s="3">
        <v>0.15</v>
      </c>
      <c r="Q39" s="3">
        <v>0.1</v>
      </c>
      <c r="R39" s="3">
        <v>85</v>
      </c>
      <c r="U39" s="49" t="s">
        <v>67</v>
      </c>
      <c r="V39" s="62" t="s">
        <v>71</v>
      </c>
      <c r="W39" s="50">
        <v>460</v>
      </c>
      <c r="X39" s="50">
        <v>84</v>
      </c>
      <c r="Y39" s="61">
        <v>10</v>
      </c>
    </row>
    <row r="40" spans="1:25" ht="100" x14ac:dyDescent="0.25">
      <c r="A40" s="5" t="s">
        <v>29</v>
      </c>
      <c r="B40" s="5" t="s">
        <v>37</v>
      </c>
      <c r="C40" s="3" t="s">
        <v>33</v>
      </c>
      <c r="D40" s="3">
        <v>110</v>
      </c>
      <c r="E40" s="3">
        <v>3.5</v>
      </c>
      <c r="F40" s="3">
        <v>1</v>
      </c>
      <c r="G40" s="3">
        <v>0</v>
      </c>
      <c r="H40" s="3">
        <v>0</v>
      </c>
      <c r="I40" s="3">
        <v>55</v>
      </c>
      <c r="J40" s="3">
        <v>19</v>
      </c>
      <c r="K40" s="3">
        <v>2</v>
      </c>
      <c r="L40" s="3">
        <v>13</v>
      </c>
      <c r="M40" s="3">
        <v>6</v>
      </c>
      <c r="N40" s="3">
        <v>0.06</v>
      </c>
      <c r="O40" s="3">
        <v>0</v>
      </c>
      <c r="P40" s="3">
        <v>0.15</v>
      </c>
      <c r="Q40" s="3">
        <v>0.2</v>
      </c>
      <c r="R40" s="3">
        <v>85</v>
      </c>
      <c r="U40" s="49" t="s">
        <v>45</v>
      </c>
      <c r="V40" s="62" t="s">
        <v>47</v>
      </c>
      <c r="W40" s="50">
        <v>450</v>
      </c>
      <c r="X40" s="50">
        <v>74</v>
      </c>
      <c r="Y40" s="61">
        <v>7</v>
      </c>
    </row>
    <row r="41" spans="1:25" ht="40" x14ac:dyDescent="0.25">
      <c r="A41" s="5" t="s">
        <v>29</v>
      </c>
      <c r="B41" s="5" t="s">
        <v>38</v>
      </c>
      <c r="C41" s="3" t="s">
        <v>33</v>
      </c>
      <c r="D41" s="3">
        <v>110</v>
      </c>
      <c r="E41" s="3">
        <v>2.5</v>
      </c>
      <c r="F41" s="3">
        <v>0.3</v>
      </c>
      <c r="G41" s="3">
        <v>0</v>
      </c>
      <c r="H41" s="3">
        <v>0</v>
      </c>
      <c r="I41" s="3">
        <v>60</v>
      </c>
      <c r="J41" s="3">
        <v>16</v>
      </c>
      <c r="K41" s="3">
        <v>1</v>
      </c>
      <c r="L41" s="3">
        <v>13</v>
      </c>
      <c r="M41" s="3">
        <v>5</v>
      </c>
      <c r="N41" s="3">
        <v>0.06</v>
      </c>
      <c r="O41" s="3">
        <v>0</v>
      </c>
      <c r="P41" s="3">
        <v>0.2</v>
      </c>
      <c r="Q41" s="3">
        <v>0.08</v>
      </c>
      <c r="R41" s="3">
        <v>75</v>
      </c>
      <c r="U41" s="49" t="s">
        <v>50</v>
      </c>
      <c r="V41" s="62" t="s">
        <v>54</v>
      </c>
      <c r="W41" s="50">
        <v>450</v>
      </c>
      <c r="X41" s="50">
        <v>71</v>
      </c>
      <c r="Y41" s="61">
        <v>10</v>
      </c>
    </row>
    <row r="42" spans="1:25" ht="80" x14ac:dyDescent="0.25">
      <c r="A42" s="5" t="s">
        <v>29</v>
      </c>
      <c r="B42" s="5" t="s">
        <v>40</v>
      </c>
      <c r="C42" s="3" t="s">
        <v>36</v>
      </c>
      <c r="D42" s="3">
        <v>110</v>
      </c>
      <c r="E42" s="3">
        <v>0.2</v>
      </c>
      <c r="F42" s="3">
        <v>0.2</v>
      </c>
      <c r="G42" s="3">
        <v>0</v>
      </c>
      <c r="H42" s="3">
        <v>5</v>
      </c>
      <c r="I42" s="3">
        <v>120</v>
      </c>
      <c r="J42" s="3">
        <v>16</v>
      </c>
      <c r="K42" s="3">
        <v>0</v>
      </c>
      <c r="L42" s="3">
        <v>14</v>
      </c>
      <c r="M42" s="3">
        <v>10</v>
      </c>
      <c r="N42" s="3">
        <v>0.2</v>
      </c>
      <c r="O42" s="3">
        <v>0</v>
      </c>
      <c r="P42" s="3">
        <v>0.3</v>
      </c>
      <c r="Q42" s="3">
        <v>0</v>
      </c>
      <c r="R42" s="3">
        <v>150</v>
      </c>
      <c r="U42" s="49" t="s">
        <v>67</v>
      </c>
      <c r="V42" s="62" t="s">
        <v>71</v>
      </c>
      <c r="W42" s="50">
        <v>430</v>
      </c>
      <c r="X42" s="50">
        <v>80</v>
      </c>
      <c r="Y42" s="61">
        <v>8</v>
      </c>
    </row>
    <row r="43" spans="1:25" ht="80" x14ac:dyDescent="0.25">
      <c r="A43" s="5" t="s">
        <v>29</v>
      </c>
      <c r="B43" s="5" t="s">
        <v>30</v>
      </c>
      <c r="C43" s="3" t="s">
        <v>32</v>
      </c>
      <c r="D43" s="3">
        <v>100</v>
      </c>
      <c r="E43" s="3">
        <v>3.5</v>
      </c>
      <c r="F43" s="3">
        <v>2</v>
      </c>
      <c r="G43" s="3">
        <v>0.1</v>
      </c>
      <c r="H43" s="3">
        <v>15</v>
      </c>
      <c r="I43" s="3">
        <v>85</v>
      </c>
      <c r="J43" s="3">
        <v>10</v>
      </c>
      <c r="K43" s="3">
        <v>0</v>
      </c>
      <c r="L43" s="3">
        <v>9</v>
      </c>
      <c r="M43" s="3">
        <v>6</v>
      </c>
      <c r="N43" s="3">
        <v>0.1</v>
      </c>
      <c r="O43" s="3">
        <v>0</v>
      </c>
      <c r="P43" s="3">
        <v>0.2</v>
      </c>
      <c r="Q43" s="3">
        <v>0</v>
      </c>
      <c r="R43" s="3">
        <v>75</v>
      </c>
      <c r="U43" s="49" t="s">
        <v>67</v>
      </c>
      <c r="V43" s="62" t="s">
        <v>71</v>
      </c>
      <c r="W43" s="50">
        <v>420</v>
      </c>
      <c r="X43" s="50">
        <v>84</v>
      </c>
      <c r="Y43" s="61">
        <v>5</v>
      </c>
    </row>
    <row r="44" spans="1:25" ht="100" x14ac:dyDescent="0.25">
      <c r="A44" s="5" t="s">
        <v>29</v>
      </c>
      <c r="B44" s="5" t="s">
        <v>30</v>
      </c>
      <c r="C44" s="3" t="s">
        <v>34</v>
      </c>
      <c r="D44" s="3">
        <v>100</v>
      </c>
      <c r="E44" s="3">
        <v>0.2</v>
      </c>
      <c r="F44" s="3">
        <v>0.2</v>
      </c>
      <c r="G44" s="3">
        <v>0</v>
      </c>
      <c r="H44" s="3">
        <v>5</v>
      </c>
      <c r="I44" s="3">
        <v>120</v>
      </c>
      <c r="J44" s="3">
        <v>15</v>
      </c>
      <c r="K44" s="3">
        <v>0</v>
      </c>
      <c r="L44" s="3">
        <v>14</v>
      </c>
      <c r="M44" s="3">
        <v>10</v>
      </c>
      <c r="N44" s="3">
        <v>0.15</v>
      </c>
      <c r="O44" s="3">
        <v>0</v>
      </c>
      <c r="P44" s="3">
        <v>0.3</v>
      </c>
      <c r="Q44" s="3">
        <v>0</v>
      </c>
      <c r="R44" s="3">
        <v>75</v>
      </c>
      <c r="U44" s="49" t="s">
        <v>45</v>
      </c>
      <c r="V44" s="62" t="s">
        <v>47</v>
      </c>
      <c r="W44" s="50">
        <v>400</v>
      </c>
      <c r="X44" s="50">
        <v>58</v>
      </c>
      <c r="Y44" s="61">
        <v>11</v>
      </c>
    </row>
    <row r="45" spans="1:25" ht="40" x14ac:dyDescent="0.25">
      <c r="A45" s="5" t="s">
        <v>29</v>
      </c>
      <c r="B45" s="5" t="s">
        <v>38</v>
      </c>
      <c r="C45" s="3" t="s">
        <v>31</v>
      </c>
      <c r="D45" s="3">
        <v>100</v>
      </c>
      <c r="E45" s="3">
        <v>0.1</v>
      </c>
      <c r="F45" s="3">
        <v>0.1</v>
      </c>
      <c r="G45" s="3">
        <v>0</v>
      </c>
      <c r="H45" s="3">
        <v>5</v>
      </c>
      <c r="I45" s="3">
        <v>70</v>
      </c>
      <c r="J45" s="3">
        <v>19</v>
      </c>
      <c r="K45" s="3">
        <v>0</v>
      </c>
      <c r="L45" s="3">
        <v>18</v>
      </c>
      <c r="M45" s="3">
        <v>6</v>
      </c>
      <c r="N45" s="3">
        <v>0.1</v>
      </c>
      <c r="O45" s="3">
        <v>0</v>
      </c>
      <c r="P45" s="3">
        <v>0.2</v>
      </c>
      <c r="Q45" s="3">
        <v>0</v>
      </c>
      <c r="R45" s="3">
        <v>75</v>
      </c>
      <c r="U45" s="49" t="s">
        <v>50</v>
      </c>
      <c r="V45" s="62" t="s">
        <v>54</v>
      </c>
      <c r="W45" s="50">
        <v>390</v>
      </c>
      <c r="X45" s="50">
        <v>58</v>
      </c>
      <c r="Y45" s="61">
        <v>8</v>
      </c>
    </row>
    <row r="46" spans="1:25" ht="60" x14ac:dyDescent="0.25">
      <c r="A46" s="5" t="s">
        <v>29</v>
      </c>
      <c r="B46" s="5" t="s">
        <v>40</v>
      </c>
      <c r="C46" s="3" t="s">
        <v>33</v>
      </c>
      <c r="D46" s="3">
        <v>100</v>
      </c>
      <c r="E46" s="3">
        <v>3.5</v>
      </c>
      <c r="F46" s="3">
        <v>0.4</v>
      </c>
      <c r="G46" s="3">
        <v>0</v>
      </c>
      <c r="H46" s="3">
        <v>0</v>
      </c>
      <c r="I46" s="3">
        <v>80</v>
      </c>
      <c r="J46" s="3">
        <v>9</v>
      </c>
      <c r="K46" s="3">
        <v>1</v>
      </c>
      <c r="L46" s="3">
        <v>5</v>
      </c>
      <c r="M46" s="3">
        <v>7</v>
      </c>
      <c r="N46" s="3">
        <v>0.08</v>
      </c>
      <c r="O46" s="3">
        <v>0</v>
      </c>
      <c r="P46" s="3">
        <v>0.25</v>
      </c>
      <c r="Q46" s="3">
        <v>0.1</v>
      </c>
      <c r="R46" s="3">
        <v>150</v>
      </c>
      <c r="U46" s="63" t="s">
        <v>67</v>
      </c>
      <c r="V46" s="64" t="s">
        <v>69</v>
      </c>
      <c r="W46" s="55">
        <v>390</v>
      </c>
      <c r="X46" s="55">
        <v>76</v>
      </c>
      <c r="Y46" s="65">
        <v>6</v>
      </c>
    </row>
    <row r="47" spans="1:25" ht="20" x14ac:dyDescent="0.25">
      <c r="A47" s="5" t="s">
        <v>29</v>
      </c>
      <c r="B47" s="5" t="s">
        <v>44</v>
      </c>
      <c r="C47" s="3" t="s">
        <v>34</v>
      </c>
      <c r="D47" s="3">
        <v>100</v>
      </c>
      <c r="E47" s="3">
        <v>0.2</v>
      </c>
      <c r="F47" s="3">
        <v>0.1</v>
      </c>
      <c r="G47" s="3">
        <v>0</v>
      </c>
      <c r="H47" s="3">
        <v>5</v>
      </c>
      <c r="I47" s="3">
        <v>125</v>
      </c>
      <c r="J47" s="3">
        <v>14</v>
      </c>
      <c r="K47" s="3">
        <v>0</v>
      </c>
      <c r="L47" s="3">
        <v>13</v>
      </c>
      <c r="M47" s="3">
        <v>9</v>
      </c>
      <c r="N47" s="3">
        <v>0.15</v>
      </c>
      <c r="O47" s="3">
        <v>0</v>
      </c>
      <c r="P47" s="3">
        <v>0.3</v>
      </c>
      <c r="Q47" s="3">
        <v>0</v>
      </c>
      <c r="R47" s="3">
        <v>75</v>
      </c>
    </row>
    <row r="48" spans="1:25" ht="20" x14ac:dyDescent="0.25">
      <c r="A48" s="5" t="s">
        <v>29</v>
      </c>
      <c r="B48" s="5" t="s">
        <v>40</v>
      </c>
      <c r="C48" s="3" t="s">
        <v>32</v>
      </c>
      <c r="D48" s="3">
        <v>90</v>
      </c>
      <c r="E48" s="3">
        <v>3.5</v>
      </c>
      <c r="F48" s="3">
        <v>1.5</v>
      </c>
      <c r="G48" s="3">
        <v>0.1</v>
      </c>
      <c r="H48" s="3">
        <v>15</v>
      </c>
      <c r="I48" s="3">
        <v>80</v>
      </c>
      <c r="J48" s="3">
        <v>9</v>
      </c>
      <c r="K48" s="3">
        <v>0</v>
      </c>
      <c r="L48" s="3">
        <v>8</v>
      </c>
      <c r="M48" s="3">
        <v>6</v>
      </c>
      <c r="N48" s="3">
        <v>0.1</v>
      </c>
      <c r="O48" s="3">
        <v>0</v>
      </c>
      <c r="P48" s="3">
        <v>0.2</v>
      </c>
      <c r="Q48" s="3">
        <v>0</v>
      </c>
      <c r="R48" s="3">
        <v>75</v>
      </c>
    </row>
    <row r="49" spans="1:18" ht="20" x14ac:dyDescent="0.25">
      <c r="A49" s="5" t="s">
        <v>29</v>
      </c>
      <c r="B49" s="5" t="s">
        <v>40</v>
      </c>
      <c r="C49" s="3" t="s">
        <v>32</v>
      </c>
      <c r="D49" s="3">
        <v>80</v>
      </c>
      <c r="E49" s="3">
        <v>3</v>
      </c>
      <c r="F49" s="3">
        <v>1.5</v>
      </c>
      <c r="G49" s="3">
        <v>0.1</v>
      </c>
      <c r="H49" s="3">
        <v>10</v>
      </c>
      <c r="I49" s="3">
        <v>70</v>
      </c>
      <c r="J49" s="3">
        <v>8</v>
      </c>
      <c r="K49" s="3">
        <v>0</v>
      </c>
      <c r="L49" s="3">
        <v>7</v>
      </c>
      <c r="M49" s="3">
        <v>5</v>
      </c>
      <c r="N49" s="3">
        <v>0.08</v>
      </c>
      <c r="O49" s="3">
        <v>0</v>
      </c>
      <c r="P49" s="3">
        <v>0.15</v>
      </c>
      <c r="Q49" s="3">
        <v>0</v>
      </c>
      <c r="R49" s="3">
        <v>75</v>
      </c>
    </row>
    <row r="50" spans="1:18" ht="20" x14ac:dyDescent="0.25">
      <c r="A50" s="5" t="s">
        <v>29</v>
      </c>
      <c r="B50" s="5" t="s">
        <v>40</v>
      </c>
      <c r="C50" s="3" t="s">
        <v>35</v>
      </c>
      <c r="D50" s="3">
        <v>80</v>
      </c>
      <c r="E50" s="3">
        <v>0.2</v>
      </c>
      <c r="F50" s="3">
        <v>0.1</v>
      </c>
      <c r="G50" s="3">
        <v>0</v>
      </c>
      <c r="H50" s="3">
        <v>5</v>
      </c>
      <c r="I50" s="3">
        <v>90</v>
      </c>
      <c r="J50" s="3">
        <v>12</v>
      </c>
      <c r="K50" s="3">
        <v>0</v>
      </c>
      <c r="L50" s="3">
        <v>10</v>
      </c>
      <c r="M50" s="3">
        <v>8</v>
      </c>
      <c r="N50" s="3">
        <v>0.15</v>
      </c>
      <c r="O50" s="3">
        <v>0</v>
      </c>
      <c r="P50" s="3">
        <v>0.25</v>
      </c>
      <c r="Q50" s="3">
        <v>0</v>
      </c>
      <c r="R50" s="3">
        <v>150</v>
      </c>
    </row>
    <row r="51" spans="1:18" ht="20" x14ac:dyDescent="0.25">
      <c r="A51" s="5" t="s">
        <v>29</v>
      </c>
      <c r="B51" s="5" t="s">
        <v>30</v>
      </c>
      <c r="C51" s="3" t="s">
        <v>31</v>
      </c>
      <c r="D51" s="3">
        <v>70</v>
      </c>
      <c r="E51" s="3">
        <v>0.1</v>
      </c>
      <c r="F51" s="3">
        <v>0.1</v>
      </c>
      <c r="G51" s="3">
        <v>0</v>
      </c>
      <c r="H51" s="3">
        <v>5</v>
      </c>
      <c r="I51" s="3">
        <v>75</v>
      </c>
      <c r="J51" s="3">
        <v>10</v>
      </c>
      <c r="K51" s="3">
        <v>0</v>
      </c>
      <c r="L51" s="3">
        <v>9</v>
      </c>
      <c r="M51" s="3">
        <v>6</v>
      </c>
      <c r="N51" s="3">
        <v>0.1</v>
      </c>
      <c r="O51" s="3">
        <v>0</v>
      </c>
      <c r="P51" s="3">
        <v>0.2</v>
      </c>
      <c r="Q51" s="3">
        <v>0</v>
      </c>
      <c r="R51" s="3">
        <v>75</v>
      </c>
    </row>
    <row r="52" spans="1:18" ht="20" x14ac:dyDescent="0.25">
      <c r="A52" s="5" t="s">
        <v>29</v>
      </c>
      <c r="B52" s="5" t="s">
        <v>30</v>
      </c>
      <c r="C52" s="3" t="s">
        <v>33</v>
      </c>
      <c r="D52" s="3">
        <v>70</v>
      </c>
      <c r="E52" s="3">
        <v>2.5</v>
      </c>
      <c r="F52" s="3">
        <v>0.4</v>
      </c>
      <c r="G52" s="3">
        <v>0</v>
      </c>
      <c r="H52" s="3">
        <v>0</v>
      </c>
      <c r="I52" s="3">
        <v>65</v>
      </c>
      <c r="J52" s="3">
        <v>6</v>
      </c>
      <c r="K52" s="3">
        <v>1</v>
      </c>
      <c r="L52" s="3">
        <v>4</v>
      </c>
      <c r="M52" s="3">
        <v>5</v>
      </c>
      <c r="N52" s="3">
        <v>0.06</v>
      </c>
      <c r="O52" s="3">
        <v>0</v>
      </c>
      <c r="P52" s="3">
        <v>0.2</v>
      </c>
      <c r="Q52" s="3">
        <v>0.08</v>
      </c>
      <c r="R52" s="3">
        <v>75</v>
      </c>
    </row>
    <row r="53" spans="1:18" ht="20" x14ac:dyDescent="0.25">
      <c r="A53" s="5" t="s">
        <v>29</v>
      </c>
      <c r="B53" s="5" t="s">
        <v>40</v>
      </c>
      <c r="C53" s="3" t="s">
        <v>33</v>
      </c>
      <c r="D53" s="3">
        <v>70</v>
      </c>
      <c r="E53" s="3">
        <v>3</v>
      </c>
      <c r="F53" s="3">
        <v>0.4</v>
      </c>
      <c r="G53" s="3">
        <v>0</v>
      </c>
      <c r="H53" s="3">
        <v>0</v>
      </c>
      <c r="I53" s="3">
        <v>65</v>
      </c>
      <c r="J53" s="3">
        <v>7</v>
      </c>
      <c r="K53" s="3">
        <v>1</v>
      </c>
      <c r="L53" s="3">
        <v>4</v>
      </c>
      <c r="M53" s="3">
        <v>5</v>
      </c>
      <c r="N53" s="3">
        <v>0.06</v>
      </c>
      <c r="O53" s="3">
        <v>0</v>
      </c>
      <c r="P53" s="3">
        <v>0.2</v>
      </c>
      <c r="Q53" s="3">
        <v>0.08</v>
      </c>
      <c r="R53" s="3">
        <v>75</v>
      </c>
    </row>
    <row r="54" spans="1:18" ht="20" x14ac:dyDescent="0.25">
      <c r="A54" s="5" t="s">
        <v>29</v>
      </c>
      <c r="B54" s="5" t="s">
        <v>40</v>
      </c>
      <c r="C54" s="3" t="s">
        <v>34</v>
      </c>
      <c r="D54" s="3">
        <v>60</v>
      </c>
      <c r="E54" s="3">
        <v>0.1</v>
      </c>
      <c r="F54" s="3">
        <v>0.1</v>
      </c>
      <c r="G54" s="3">
        <v>0</v>
      </c>
      <c r="H54" s="3">
        <v>5</v>
      </c>
      <c r="I54" s="3">
        <v>70</v>
      </c>
      <c r="J54" s="3">
        <v>9</v>
      </c>
      <c r="K54" s="3">
        <v>0</v>
      </c>
      <c r="L54" s="3">
        <v>8</v>
      </c>
      <c r="M54" s="3">
        <v>6</v>
      </c>
      <c r="N54" s="3">
        <v>0.1</v>
      </c>
      <c r="O54" s="3">
        <v>0</v>
      </c>
      <c r="P54" s="3">
        <v>0.2</v>
      </c>
      <c r="Q54" s="3">
        <v>0</v>
      </c>
      <c r="R54" s="3">
        <v>75</v>
      </c>
    </row>
    <row r="55" spans="1:18" ht="20" x14ac:dyDescent="0.25">
      <c r="A55" s="5" t="s">
        <v>29</v>
      </c>
      <c r="B55" s="5" t="s">
        <v>44</v>
      </c>
      <c r="C55" s="3" t="s">
        <v>31</v>
      </c>
      <c r="D55" s="3">
        <v>60</v>
      </c>
      <c r="E55" s="3">
        <v>0.1</v>
      </c>
      <c r="F55" s="3">
        <v>0.1</v>
      </c>
      <c r="G55" s="3">
        <v>0</v>
      </c>
      <c r="H55" s="3">
        <v>5</v>
      </c>
      <c r="I55" s="3">
        <v>80</v>
      </c>
      <c r="J55" s="3">
        <v>9</v>
      </c>
      <c r="K55" s="3">
        <v>0</v>
      </c>
      <c r="L55" s="3">
        <v>8</v>
      </c>
      <c r="M55" s="3">
        <v>6</v>
      </c>
      <c r="N55" s="3">
        <v>0.1</v>
      </c>
      <c r="O55" s="3">
        <v>0</v>
      </c>
      <c r="P55" s="3">
        <v>0.2</v>
      </c>
      <c r="Q55" s="3">
        <v>0</v>
      </c>
      <c r="R55" s="3">
        <v>75</v>
      </c>
    </row>
    <row r="56" spans="1:18" ht="20" x14ac:dyDescent="0.25">
      <c r="A56" s="5" t="s">
        <v>29</v>
      </c>
      <c r="B56" s="5" t="s">
        <v>40</v>
      </c>
      <c r="C56" s="3" t="s">
        <v>31</v>
      </c>
      <c r="D56" s="3">
        <v>50</v>
      </c>
      <c r="E56" s="3">
        <v>0.1</v>
      </c>
      <c r="F56" s="3">
        <v>0.1</v>
      </c>
      <c r="G56" s="3">
        <v>0</v>
      </c>
      <c r="H56" s="3">
        <v>5</v>
      </c>
      <c r="I56" s="3">
        <v>60</v>
      </c>
      <c r="J56" s="3">
        <v>8</v>
      </c>
      <c r="K56" s="3">
        <v>0</v>
      </c>
      <c r="L56" s="3">
        <v>7</v>
      </c>
      <c r="M56" s="3">
        <v>5</v>
      </c>
      <c r="N56" s="3">
        <v>0.08</v>
      </c>
      <c r="O56" s="3">
        <v>0</v>
      </c>
      <c r="P56" s="3">
        <v>0.15</v>
      </c>
      <c r="Q56" s="3">
        <v>0</v>
      </c>
      <c r="R56" s="3">
        <v>75</v>
      </c>
    </row>
    <row r="57" spans="1:18" ht="20" x14ac:dyDescent="0.25">
      <c r="A57" s="5" t="s">
        <v>29</v>
      </c>
      <c r="B57" s="5" t="s">
        <v>40</v>
      </c>
      <c r="C57" s="3" t="s">
        <v>33</v>
      </c>
      <c r="D57" s="3">
        <v>50</v>
      </c>
      <c r="E57" s="3">
        <v>1.5</v>
      </c>
      <c r="F57" s="3">
        <v>0.2</v>
      </c>
      <c r="G57" s="3">
        <v>0</v>
      </c>
      <c r="H57" s="3">
        <v>0</v>
      </c>
      <c r="I57" s="3">
        <v>40</v>
      </c>
      <c r="J57" s="3">
        <v>4</v>
      </c>
      <c r="K57" s="3">
        <v>0</v>
      </c>
      <c r="L57" s="3">
        <v>3</v>
      </c>
      <c r="M57" s="3">
        <v>3</v>
      </c>
      <c r="N57" s="3">
        <v>0.04</v>
      </c>
      <c r="O57" s="3">
        <v>0</v>
      </c>
      <c r="P57" s="3">
        <v>0.1</v>
      </c>
      <c r="Q57" s="3">
        <v>0.06</v>
      </c>
      <c r="R57" s="3">
        <v>75</v>
      </c>
    </row>
    <row r="58" spans="1:18" ht="20" x14ac:dyDescent="0.25">
      <c r="A58" s="5" t="s">
        <v>29</v>
      </c>
      <c r="B58" s="5" t="s">
        <v>39</v>
      </c>
      <c r="C58" s="3" t="s">
        <v>28</v>
      </c>
      <c r="D58" s="3">
        <v>25</v>
      </c>
      <c r="E58" s="3">
        <v>0</v>
      </c>
      <c r="F58" s="3">
        <v>0</v>
      </c>
      <c r="G58" s="3">
        <v>0</v>
      </c>
      <c r="H58" s="3">
        <v>0</v>
      </c>
      <c r="I58" s="3">
        <v>15</v>
      </c>
      <c r="J58" s="3">
        <v>4</v>
      </c>
      <c r="K58" s="3">
        <v>0</v>
      </c>
      <c r="L58" s="3">
        <v>0</v>
      </c>
      <c r="M58" s="3">
        <v>1</v>
      </c>
      <c r="N58" s="3">
        <v>0</v>
      </c>
      <c r="O58" s="3">
        <v>0</v>
      </c>
      <c r="P58" s="3">
        <v>0.02</v>
      </c>
      <c r="Q58" s="3">
        <v>0</v>
      </c>
      <c r="R58" s="3">
        <v>300</v>
      </c>
    </row>
    <row r="59" spans="1:18" ht="20" x14ac:dyDescent="0.25">
      <c r="A59" s="5" t="s">
        <v>29</v>
      </c>
      <c r="B59" s="5" t="s">
        <v>39</v>
      </c>
      <c r="C59" s="3" t="s">
        <v>27</v>
      </c>
      <c r="D59" s="3">
        <v>15</v>
      </c>
      <c r="E59" s="3">
        <v>0</v>
      </c>
      <c r="F59" s="3">
        <v>0</v>
      </c>
      <c r="G59" s="3">
        <v>0</v>
      </c>
      <c r="H59" s="3">
        <v>0</v>
      </c>
      <c r="I59" s="3">
        <v>15</v>
      </c>
      <c r="J59" s="3">
        <v>3</v>
      </c>
      <c r="K59" s="3">
        <v>0</v>
      </c>
      <c r="L59" s="3">
        <v>0</v>
      </c>
      <c r="M59" s="3">
        <v>1</v>
      </c>
      <c r="N59" s="3">
        <v>0</v>
      </c>
      <c r="O59" s="3">
        <v>0</v>
      </c>
      <c r="P59" s="3">
        <v>0.02</v>
      </c>
      <c r="Q59" s="3">
        <v>0</v>
      </c>
      <c r="R59" s="3">
        <v>225</v>
      </c>
    </row>
    <row r="60" spans="1:18" ht="20" x14ac:dyDescent="0.25">
      <c r="A60" s="5" t="s">
        <v>29</v>
      </c>
      <c r="B60" s="5" t="s">
        <v>39</v>
      </c>
      <c r="C60" s="3" t="s">
        <v>26</v>
      </c>
      <c r="D60" s="3">
        <v>10</v>
      </c>
      <c r="E60" s="3">
        <v>0</v>
      </c>
      <c r="F60" s="3">
        <v>0</v>
      </c>
      <c r="G60" s="3">
        <v>0</v>
      </c>
      <c r="H60" s="3">
        <v>0</v>
      </c>
      <c r="I60" s="3">
        <v>10</v>
      </c>
      <c r="J60" s="3">
        <v>2</v>
      </c>
      <c r="K60" s="3">
        <v>0</v>
      </c>
      <c r="L60" s="3">
        <v>0</v>
      </c>
      <c r="M60" s="3">
        <v>1</v>
      </c>
      <c r="N60" s="3">
        <v>0</v>
      </c>
      <c r="O60" s="3">
        <v>0</v>
      </c>
      <c r="P60" s="3">
        <v>0.02</v>
      </c>
      <c r="Q60" s="3">
        <v>0</v>
      </c>
      <c r="R60" s="3">
        <v>150</v>
      </c>
    </row>
    <row r="61" spans="1:18" ht="20" x14ac:dyDescent="0.25">
      <c r="A61" s="5" t="s">
        <v>29</v>
      </c>
      <c r="B61" s="5" t="s">
        <v>41</v>
      </c>
      <c r="C61" s="3" t="s">
        <v>43</v>
      </c>
      <c r="D61" s="3">
        <v>10</v>
      </c>
      <c r="E61" s="3">
        <v>0</v>
      </c>
      <c r="F61" s="3">
        <v>0</v>
      </c>
      <c r="G61" s="3">
        <v>0</v>
      </c>
      <c r="H61" s="3">
        <v>0</v>
      </c>
      <c r="I61" s="3">
        <v>1</v>
      </c>
      <c r="J61" s="3">
        <v>2</v>
      </c>
      <c r="K61" s="3">
        <v>0</v>
      </c>
      <c r="L61" s="3">
        <v>0</v>
      </c>
      <c r="M61" s="3">
        <v>1</v>
      </c>
      <c r="N61" s="3">
        <v>0</v>
      </c>
      <c r="O61" s="3">
        <v>0</v>
      </c>
      <c r="P61" s="3">
        <v>0</v>
      </c>
      <c r="Q61" s="3">
        <v>0</v>
      </c>
      <c r="R61" s="3">
        <v>150</v>
      </c>
    </row>
    <row r="62" spans="1:18" ht="20" x14ac:dyDescent="0.25">
      <c r="A62" s="5" t="s">
        <v>29</v>
      </c>
      <c r="B62" s="5" t="s">
        <v>39</v>
      </c>
      <c r="C62" s="3" t="s">
        <v>25</v>
      </c>
      <c r="D62" s="3">
        <v>5</v>
      </c>
      <c r="E62" s="3">
        <v>0</v>
      </c>
      <c r="F62" s="3">
        <v>0</v>
      </c>
      <c r="G62" s="3">
        <v>0</v>
      </c>
      <c r="H62" s="3">
        <v>0</v>
      </c>
      <c r="I62" s="3">
        <v>5</v>
      </c>
      <c r="J62" s="3">
        <v>1</v>
      </c>
      <c r="K62" s="3">
        <v>0</v>
      </c>
      <c r="L62" s="3">
        <v>0</v>
      </c>
      <c r="M62" s="3">
        <v>0.4</v>
      </c>
      <c r="N62" s="3">
        <v>0</v>
      </c>
      <c r="O62" s="3">
        <v>0</v>
      </c>
      <c r="P62" s="3">
        <v>0</v>
      </c>
      <c r="Q62" s="3">
        <v>0</v>
      </c>
      <c r="R62" s="3">
        <v>75</v>
      </c>
    </row>
    <row r="63" spans="1:18" ht="20" x14ac:dyDescent="0.25">
      <c r="A63" s="5" t="s">
        <v>29</v>
      </c>
      <c r="B63" s="5" t="s">
        <v>41</v>
      </c>
      <c r="C63" s="3" t="s">
        <v>42</v>
      </c>
      <c r="D63" s="3">
        <v>5</v>
      </c>
      <c r="E63" s="3">
        <v>0</v>
      </c>
      <c r="F63" s="3">
        <v>0</v>
      </c>
      <c r="G63" s="3">
        <v>0</v>
      </c>
      <c r="H63" s="3">
        <v>0</v>
      </c>
      <c r="I63" s="3">
        <v>0</v>
      </c>
      <c r="J63" s="3">
        <v>1</v>
      </c>
      <c r="K63" s="3">
        <v>0</v>
      </c>
      <c r="L63" s="3">
        <v>0</v>
      </c>
      <c r="M63" s="3">
        <v>0.4</v>
      </c>
      <c r="N63" s="3">
        <v>0</v>
      </c>
      <c r="O63" s="3">
        <v>0</v>
      </c>
      <c r="P63" s="3">
        <v>0</v>
      </c>
      <c r="Q63" s="3">
        <v>0</v>
      </c>
      <c r="R63" s="3">
        <v>75</v>
      </c>
    </row>
    <row r="64" spans="1:18" ht="20" x14ac:dyDescent="0.25">
      <c r="A64" s="5" t="s">
        <v>23</v>
      </c>
      <c r="B64" s="5" t="s">
        <v>24</v>
      </c>
      <c r="C64" s="3" t="s">
        <v>27</v>
      </c>
      <c r="D64" s="3">
        <v>5</v>
      </c>
      <c r="E64" s="3">
        <v>0.1</v>
      </c>
      <c r="F64" s="3">
        <v>0</v>
      </c>
      <c r="G64" s="3">
        <v>0</v>
      </c>
      <c r="H64" s="3">
        <v>0</v>
      </c>
      <c r="I64" s="3">
        <v>10</v>
      </c>
      <c r="J64" s="3">
        <v>0</v>
      </c>
      <c r="K64" s="3">
        <v>0</v>
      </c>
      <c r="L64" s="3">
        <v>0</v>
      </c>
      <c r="M64" s="3">
        <v>1</v>
      </c>
      <c r="N64" s="3">
        <v>0</v>
      </c>
      <c r="O64" s="3">
        <v>0</v>
      </c>
      <c r="P64" s="3">
        <v>0</v>
      </c>
      <c r="Q64" s="3">
        <v>0</v>
      </c>
      <c r="R64" s="3">
        <v>330</v>
      </c>
    </row>
    <row r="65" spans="1:18" ht="20" x14ac:dyDescent="0.25">
      <c r="A65" s="5" t="s">
        <v>23</v>
      </c>
      <c r="B65" s="5" t="s">
        <v>24</v>
      </c>
      <c r="C65" s="3" t="s">
        <v>28</v>
      </c>
      <c r="D65" s="3">
        <v>5</v>
      </c>
      <c r="E65" s="3">
        <v>0.1</v>
      </c>
      <c r="F65" s="3">
        <v>0</v>
      </c>
      <c r="G65" s="3">
        <v>0</v>
      </c>
      <c r="H65" s="3">
        <v>0</v>
      </c>
      <c r="I65" s="3">
        <v>10</v>
      </c>
      <c r="J65" s="3">
        <v>0</v>
      </c>
      <c r="K65" s="3">
        <v>0</v>
      </c>
      <c r="L65" s="3">
        <v>0</v>
      </c>
      <c r="M65" s="3">
        <v>1</v>
      </c>
      <c r="N65" s="3">
        <v>0</v>
      </c>
      <c r="O65" s="3">
        <v>0</v>
      </c>
      <c r="P65" s="3">
        <v>0.02</v>
      </c>
      <c r="Q65" s="3">
        <v>0</v>
      </c>
      <c r="R65" s="3">
        <v>410</v>
      </c>
    </row>
    <row r="66" spans="1:18" ht="20" x14ac:dyDescent="0.25">
      <c r="A66" s="9" t="s">
        <v>23</v>
      </c>
      <c r="B66" s="5" t="s">
        <v>24</v>
      </c>
      <c r="C66" s="3" t="s">
        <v>26</v>
      </c>
      <c r="D66" s="3">
        <v>4</v>
      </c>
      <c r="E66" s="3">
        <v>0.1</v>
      </c>
      <c r="F66" s="3">
        <v>0</v>
      </c>
      <c r="G66" s="3">
        <v>0</v>
      </c>
      <c r="H66" s="3">
        <v>0</v>
      </c>
      <c r="I66" s="3">
        <v>10</v>
      </c>
      <c r="J66" s="3">
        <v>0</v>
      </c>
      <c r="K66" s="3">
        <v>0</v>
      </c>
      <c r="L66" s="3">
        <v>0</v>
      </c>
      <c r="M66" s="3">
        <v>0.5</v>
      </c>
      <c r="N66" s="3">
        <v>0</v>
      </c>
      <c r="O66" s="3">
        <v>0</v>
      </c>
      <c r="P66" s="3">
        <v>0</v>
      </c>
      <c r="Q66" s="3">
        <v>0</v>
      </c>
      <c r="R66" s="3">
        <v>260</v>
      </c>
    </row>
    <row r="67" spans="1:18" ht="20" x14ac:dyDescent="0.25">
      <c r="A67" s="5" t="s">
        <v>23</v>
      </c>
      <c r="B67" s="5" t="s">
        <v>24</v>
      </c>
      <c r="C67" s="3" t="s">
        <v>25</v>
      </c>
      <c r="D67" s="3">
        <v>3</v>
      </c>
      <c r="E67" s="3">
        <v>0.1</v>
      </c>
      <c r="F67" s="3">
        <v>0</v>
      </c>
      <c r="G67" s="3">
        <v>0</v>
      </c>
      <c r="H67" s="3">
        <v>0</v>
      </c>
      <c r="I67" s="3">
        <v>5</v>
      </c>
      <c r="J67" s="3">
        <v>0</v>
      </c>
      <c r="K67" s="3">
        <v>0</v>
      </c>
      <c r="L67" s="3">
        <v>0</v>
      </c>
      <c r="M67" s="3">
        <v>0.3</v>
      </c>
      <c r="N67" s="3">
        <v>0</v>
      </c>
      <c r="O67" s="3">
        <v>0</v>
      </c>
      <c r="P67" s="3">
        <v>0</v>
      </c>
      <c r="Q67" s="3">
        <v>0</v>
      </c>
      <c r="R67" s="3">
        <v>175</v>
      </c>
    </row>
    <row r="68" spans="1:18" ht="40" x14ac:dyDescent="0.25">
      <c r="A68" s="5" t="s">
        <v>67</v>
      </c>
      <c r="B68" s="5" t="s">
        <v>71</v>
      </c>
      <c r="C68" s="3" t="s">
        <v>68</v>
      </c>
      <c r="D68" s="3">
        <v>460</v>
      </c>
      <c r="E68" s="3">
        <v>10</v>
      </c>
      <c r="F68" s="3">
        <v>7</v>
      </c>
      <c r="G68" s="3">
        <v>0.2</v>
      </c>
      <c r="H68" s="3">
        <v>15</v>
      </c>
      <c r="I68" s="3">
        <v>340</v>
      </c>
      <c r="J68" s="3">
        <v>90</v>
      </c>
      <c r="K68" s="3">
        <v>2</v>
      </c>
      <c r="L68" s="3">
        <v>84</v>
      </c>
      <c r="M68" s="3">
        <v>7</v>
      </c>
      <c r="N68" s="3">
        <v>0.06</v>
      </c>
      <c r="O68" s="3">
        <v>0</v>
      </c>
      <c r="P68" s="3">
        <v>0.15</v>
      </c>
      <c r="Q68" s="3">
        <v>0.35</v>
      </c>
      <c r="R68" s="3">
        <v>145</v>
      </c>
    </row>
    <row r="69" spans="1:18" ht="40" x14ac:dyDescent="0.25">
      <c r="A69" s="5" t="s">
        <v>67</v>
      </c>
      <c r="B69" s="5" t="s">
        <v>71</v>
      </c>
      <c r="C69" s="3" t="s">
        <v>33</v>
      </c>
      <c r="D69" s="3">
        <v>430</v>
      </c>
      <c r="E69" s="3">
        <v>8</v>
      </c>
      <c r="F69" s="3">
        <v>4.5</v>
      </c>
      <c r="G69" s="3">
        <v>0</v>
      </c>
      <c r="H69" s="3">
        <v>0</v>
      </c>
      <c r="I69" s="3">
        <v>330</v>
      </c>
      <c r="J69" s="3">
        <v>88</v>
      </c>
      <c r="K69" s="3">
        <v>3</v>
      </c>
      <c r="L69" s="3">
        <v>80</v>
      </c>
      <c r="M69" s="3">
        <v>6</v>
      </c>
      <c r="N69" s="3">
        <v>0.06</v>
      </c>
      <c r="O69" s="3">
        <v>0</v>
      </c>
      <c r="P69" s="3">
        <v>0.2</v>
      </c>
      <c r="Q69" s="3">
        <v>0.4</v>
      </c>
      <c r="R69" s="3">
        <v>145</v>
      </c>
    </row>
    <row r="70" spans="1:18" ht="40" x14ac:dyDescent="0.25">
      <c r="A70" s="5" t="s">
        <v>67</v>
      </c>
      <c r="B70" s="5" t="s">
        <v>71</v>
      </c>
      <c r="C70" s="3" t="s">
        <v>36</v>
      </c>
      <c r="D70" s="3">
        <v>420</v>
      </c>
      <c r="E70" s="3">
        <v>5</v>
      </c>
      <c r="F70" s="3">
        <v>4</v>
      </c>
      <c r="G70" s="3">
        <v>0</v>
      </c>
      <c r="H70" s="3">
        <v>5</v>
      </c>
      <c r="I70" s="3">
        <v>340</v>
      </c>
      <c r="J70" s="3">
        <v>90</v>
      </c>
      <c r="K70" s="3">
        <v>2</v>
      </c>
      <c r="L70" s="3">
        <v>84</v>
      </c>
      <c r="M70" s="3">
        <v>7</v>
      </c>
      <c r="N70" s="3">
        <v>0.1</v>
      </c>
      <c r="O70" s="3">
        <v>0</v>
      </c>
      <c r="P70" s="3">
        <v>0.2</v>
      </c>
      <c r="Q70" s="3">
        <v>0.35</v>
      </c>
      <c r="R70" s="3">
        <v>145</v>
      </c>
    </row>
    <row r="71" spans="1:18" ht="40" x14ac:dyDescent="0.25">
      <c r="A71" s="5" t="s">
        <v>67</v>
      </c>
      <c r="B71" s="5" t="s">
        <v>69</v>
      </c>
      <c r="C71" s="3" t="s">
        <v>68</v>
      </c>
      <c r="D71" s="3">
        <v>390</v>
      </c>
      <c r="E71" s="3">
        <v>6</v>
      </c>
      <c r="F71" s="3">
        <v>3.5</v>
      </c>
      <c r="G71" s="3">
        <v>0.1</v>
      </c>
      <c r="H71" s="3">
        <v>15</v>
      </c>
      <c r="I71" s="3">
        <v>300</v>
      </c>
      <c r="J71" s="3">
        <v>80</v>
      </c>
      <c r="K71" s="3">
        <v>1</v>
      </c>
      <c r="L71" s="3">
        <v>76</v>
      </c>
      <c r="M71" s="3">
        <v>6</v>
      </c>
      <c r="N71" s="3">
        <v>0.08</v>
      </c>
      <c r="O71" s="3">
        <v>0</v>
      </c>
      <c r="P71" s="3">
        <v>0.15</v>
      </c>
      <c r="Q71" s="3">
        <v>0.1</v>
      </c>
      <c r="R71" s="3">
        <v>140</v>
      </c>
    </row>
    <row r="72" spans="1:18" ht="40" x14ac:dyDescent="0.25">
      <c r="A72" s="5" t="s">
        <v>67</v>
      </c>
      <c r="B72" s="5" t="s">
        <v>70</v>
      </c>
      <c r="C72" s="3" t="s">
        <v>68</v>
      </c>
      <c r="D72" s="3">
        <v>370</v>
      </c>
      <c r="E72" s="3">
        <v>5</v>
      </c>
      <c r="F72" s="3">
        <v>3</v>
      </c>
      <c r="G72" s="3">
        <v>0.1</v>
      </c>
      <c r="H72" s="3">
        <v>15</v>
      </c>
      <c r="I72" s="3">
        <v>300</v>
      </c>
      <c r="J72" s="3">
        <v>78</v>
      </c>
      <c r="K72" s="3">
        <v>0</v>
      </c>
      <c r="L72" s="3">
        <v>77</v>
      </c>
      <c r="M72" s="3">
        <v>5</v>
      </c>
      <c r="N72" s="3">
        <v>0.08</v>
      </c>
      <c r="O72" s="3">
        <v>0</v>
      </c>
      <c r="P72" s="3">
        <v>0.15</v>
      </c>
      <c r="Q72" s="3">
        <v>0.02</v>
      </c>
      <c r="R72" s="3">
        <v>130</v>
      </c>
    </row>
    <row r="73" spans="1:18" ht="40" x14ac:dyDescent="0.25">
      <c r="A73" s="5" t="s">
        <v>67</v>
      </c>
      <c r="B73" s="5" t="s">
        <v>23</v>
      </c>
      <c r="C73" s="3" t="s">
        <v>68</v>
      </c>
      <c r="D73" s="3">
        <v>350</v>
      </c>
      <c r="E73" s="3">
        <v>5</v>
      </c>
      <c r="F73" s="3">
        <v>3</v>
      </c>
      <c r="G73" s="3">
        <v>0.2</v>
      </c>
      <c r="H73" s="3">
        <v>15</v>
      </c>
      <c r="I73" s="3">
        <v>300</v>
      </c>
      <c r="J73" s="3">
        <v>70</v>
      </c>
      <c r="K73" s="3">
        <v>0</v>
      </c>
      <c r="L73" s="3">
        <v>69</v>
      </c>
      <c r="M73" s="3">
        <v>5</v>
      </c>
      <c r="N73" s="3">
        <v>0.08</v>
      </c>
      <c r="O73" s="3">
        <v>0</v>
      </c>
      <c r="P73" s="3">
        <v>0.15</v>
      </c>
      <c r="Q73" s="3">
        <v>0.02</v>
      </c>
      <c r="R73" s="3">
        <v>130</v>
      </c>
    </row>
    <row r="74" spans="1:18" ht="40" x14ac:dyDescent="0.25">
      <c r="A74" s="5" t="s">
        <v>67</v>
      </c>
      <c r="B74" s="5" t="s">
        <v>69</v>
      </c>
      <c r="C74" s="3" t="s">
        <v>33</v>
      </c>
      <c r="D74" s="3">
        <v>350</v>
      </c>
      <c r="E74" s="3">
        <v>3</v>
      </c>
      <c r="F74" s="3">
        <v>1</v>
      </c>
      <c r="G74" s="3">
        <v>0</v>
      </c>
      <c r="H74" s="3">
        <v>0</v>
      </c>
      <c r="I74" s="3">
        <v>290</v>
      </c>
      <c r="J74" s="3">
        <v>78</v>
      </c>
      <c r="K74" s="3">
        <v>2</v>
      </c>
      <c r="L74" s="3">
        <v>73</v>
      </c>
      <c r="M74" s="3">
        <v>6</v>
      </c>
      <c r="N74" s="3">
        <v>0.06</v>
      </c>
      <c r="O74" s="3">
        <v>0</v>
      </c>
      <c r="P74" s="3">
        <v>0.2</v>
      </c>
      <c r="Q74" s="3">
        <v>0.2</v>
      </c>
      <c r="R74" s="3">
        <v>140</v>
      </c>
    </row>
    <row r="75" spans="1:18" ht="40" x14ac:dyDescent="0.25">
      <c r="A75" s="5" t="s">
        <v>67</v>
      </c>
      <c r="B75" s="5" t="s">
        <v>69</v>
      </c>
      <c r="C75" s="3" t="s">
        <v>36</v>
      </c>
      <c r="D75" s="3">
        <v>340</v>
      </c>
      <c r="E75" s="3">
        <v>1</v>
      </c>
      <c r="F75" s="3">
        <v>0.5</v>
      </c>
      <c r="G75" s="3">
        <v>0</v>
      </c>
      <c r="H75" s="3">
        <v>5</v>
      </c>
      <c r="I75" s="3">
        <v>300</v>
      </c>
      <c r="J75" s="3">
        <v>80</v>
      </c>
      <c r="K75" s="3">
        <v>1</v>
      </c>
      <c r="L75" s="3">
        <v>76</v>
      </c>
      <c r="M75" s="3">
        <v>7</v>
      </c>
      <c r="N75" s="3">
        <v>0.1</v>
      </c>
      <c r="O75" s="3">
        <v>0</v>
      </c>
      <c r="P75" s="3">
        <v>0.15</v>
      </c>
      <c r="Q75" s="3">
        <v>0.1</v>
      </c>
      <c r="R75" s="3">
        <v>140</v>
      </c>
    </row>
    <row r="76" spans="1:18" ht="40" x14ac:dyDescent="0.25">
      <c r="A76" s="5" t="s">
        <v>67</v>
      </c>
      <c r="B76" s="5" t="s">
        <v>70</v>
      </c>
      <c r="C76" s="3" t="s">
        <v>33</v>
      </c>
      <c r="D76" s="3">
        <v>340</v>
      </c>
      <c r="E76" s="3">
        <v>2.5</v>
      </c>
      <c r="F76" s="3">
        <v>0.3</v>
      </c>
      <c r="G76" s="3">
        <v>0</v>
      </c>
      <c r="H76" s="3">
        <v>0</v>
      </c>
      <c r="I76" s="3">
        <v>290</v>
      </c>
      <c r="J76" s="3">
        <v>75</v>
      </c>
      <c r="K76" s="3">
        <v>1</v>
      </c>
      <c r="L76" s="3">
        <v>73</v>
      </c>
      <c r="M76" s="3">
        <v>5</v>
      </c>
      <c r="N76" s="3">
        <v>0.06</v>
      </c>
      <c r="O76" s="3">
        <v>0</v>
      </c>
      <c r="P76" s="3">
        <v>0.2</v>
      </c>
      <c r="Q76" s="3">
        <v>0.08</v>
      </c>
      <c r="R76" s="3">
        <v>130</v>
      </c>
    </row>
    <row r="77" spans="1:18" ht="40" x14ac:dyDescent="0.25">
      <c r="A77" s="5" t="s">
        <v>67</v>
      </c>
      <c r="B77" s="5" t="s">
        <v>71</v>
      </c>
      <c r="C77" s="3" t="s">
        <v>68</v>
      </c>
      <c r="D77" s="3">
        <v>340</v>
      </c>
      <c r="E77" s="3">
        <v>7</v>
      </c>
      <c r="F77" s="3">
        <v>5</v>
      </c>
      <c r="G77" s="3">
        <v>0.1</v>
      </c>
      <c r="H77" s="3">
        <v>10</v>
      </c>
      <c r="I77" s="3">
        <v>250</v>
      </c>
      <c r="J77" s="3">
        <v>67</v>
      </c>
      <c r="K77" s="3">
        <v>2</v>
      </c>
      <c r="L77" s="3">
        <v>62</v>
      </c>
      <c r="M77" s="3">
        <v>5</v>
      </c>
      <c r="N77" s="3">
        <v>0.04</v>
      </c>
      <c r="O77" s="3">
        <v>0</v>
      </c>
      <c r="P77" s="3">
        <v>0.1</v>
      </c>
      <c r="Q77" s="3">
        <v>0.25</v>
      </c>
      <c r="R77" s="3">
        <v>110</v>
      </c>
    </row>
    <row r="78" spans="1:18" ht="40" x14ac:dyDescent="0.25">
      <c r="A78" s="5" t="s">
        <v>67</v>
      </c>
      <c r="B78" s="5" t="s">
        <v>70</v>
      </c>
      <c r="C78" s="3" t="s">
        <v>36</v>
      </c>
      <c r="D78" s="3">
        <v>330</v>
      </c>
      <c r="E78" s="3">
        <v>0.1</v>
      </c>
      <c r="F78" s="3">
        <v>0.1</v>
      </c>
      <c r="G78" s="3">
        <v>0</v>
      </c>
      <c r="H78" s="3">
        <v>5</v>
      </c>
      <c r="I78" s="3">
        <v>290</v>
      </c>
      <c r="J78" s="3">
        <v>78</v>
      </c>
      <c r="K78" s="3">
        <v>0</v>
      </c>
      <c r="L78" s="3">
        <v>77</v>
      </c>
      <c r="M78" s="3">
        <v>5</v>
      </c>
      <c r="N78" s="3">
        <v>0.1</v>
      </c>
      <c r="O78" s="3">
        <v>0</v>
      </c>
      <c r="P78" s="3">
        <v>0.15</v>
      </c>
      <c r="Q78" s="3">
        <v>0.02</v>
      </c>
      <c r="R78" s="3">
        <v>130</v>
      </c>
    </row>
    <row r="79" spans="1:18" ht="40" x14ac:dyDescent="0.25">
      <c r="A79" s="5" t="s">
        <v>67</v>
      </c>
      <c r="B79" s="5" t="s">
        <v>23</v>
      </c>
      <c r="C79" s="3" t="s">
        <v>36</v>
      </c>
      <c r="D79" s="3">
        <v>310</v>
      </c>
      <c r="E79" s="3">
        <v>0.1</v>
      </c>
      <c r="F79" s="3">
        <v>0.1</v>
      </c>
      <c r="G79" s="3">
        <v>0</v>
      </c>
      <c r="H79" s="3">
        <v>5</v>
      </c>
      <c r="I79" s="3">
        <v>300</v>
      </c>
      <c r="J79" s="3">
        <v>70</v>
      </c>
      <c r="K79" s="3">
        <v>0</v>
      </c>
      <c r="L79" s="3">
        <v>69</v>
      </c>
      <c r="M79" s="3">
        <v>6</v>
      </c>
      <c r="N79" s="3">
        <v>0.1</v>
      </c>
      <c r="O79" s="3">
        <v>0</v>
      </c>
      <c r="P79" s="3">
        <v>0.2</v>
      </c>
      <c r="Q79" s="3">
        <v>0.06</v>
      </c>
      <c r="R79" s="3">
        <v>95</v>
      </c>
    </row>
    <row r="80" spans="1:18" ht="40" x14ac:dyDescent="0.25">
      <c r="A80" s="5" t="s">
        <v>67</v>
      </c>
      <c r="B80" s="5" t="s">
        <v>23</v>
      </c>
      <c r="C80" s="3" t="s">
        <v>33</v>
      </c>
      <c r="D80" s="3">
        <v>310</v>
      </c>
      <c r="E80" s="3">
        <v>2.5</v>
      </c>
      <c r="F80" s="3">
        <v>0.3</v>
      </c>
      <c r="G80" s="3">
        <v>0</v>
      </c>
      <c r="H80" s="3">
        <v>0</v>
      </c>
      <c r="I80" s="3">
        <v>300</v>
      </c>
      <c r="J80" s="3">
        <v>68</v>
      </c>
      <c r="K80" s="3">
        <v>1</v>
      </c>
      <c r="L80" s="3">
        <v>66</v>
      </c>
      <c r="M80" s="3">
        <v>5</v>
      </c>
      <c r="N80" s="3">
        <v>0.06</v>
      </c>
      <c r="O80" s="3">
        <v>0</v>
      </c>
      <c r="P80" s="3">
        <v>0.2</v>
      </c>
      <c r="Q80" s="3">
        <v>0.02</v>
      </c>
      <c r="R80" s="3">
        <v>130</v>
      </c>
    </row>
    <row r="81" spans="1:18" ht="40" x14ac:dyDescent="0.25">
      <c r="A81" s="5" t="s">
        <v>67</v>
      </c>
      <c r="B81" s="5" t="s">
        <v>71</v>
      </c>
      <c r="C81" s="3" t="s">
        <v>35</v>
      </c>
      <c r="D81" s="3">
        <v>310</v>
      </c>
      <c r="E81" s="3">
        <v>4</v>
      </c>
      <c r="F81" s="3">
        <v>3</v>
      </c>
      <c r="G81" s="3">
        <v>0</v>
      </c>
      <c r="H81" s="3">
        <v>0</v>
      </c>
      <c r="I81" s="3">
        <v>250</v>
      </c>
      <c r="J81" s="3">
        <v>67</v>
      </c>
      <c r="K81" s="3">
        <v>2</v>
      </c>
      <c r="L81" s="3">
        <v>62</v>
      </c>
      <c r="M81" s="3">
        <v>5</v>
      </c>
      <c r="N81" s="3">
        <v>0.06</v>
      </c>
      <c r="O81" s="3">
        <v>0</v>
      </c>
      <c r="P81" s="3">
        <v>0.1</v>
      </c>
      <c r="Q81" s="3">
        <v>0.25</v>
      </c>
      <c r="R81" s="3">
        <v>110</v>
      </c>
    </row>
    <row r="82" spans="1:18" ht="40" x14ac:dyDescent="0.25">
      <c r="A82" s="5" t="s">
        <v>67</v>
      </c>
      <c r="B82" s="5" t="s">
        <v>71</v>
      </c>
      <c r="C82" s="3" t="s">
        <v>33</v>
      </c>
      <c r="D82" s="3">
        <v>310</v>
      </c>
      <c r="E82" s="3">
        <v>6</v>
      </c>
      <c r="F82" s="3">
        <v>3.5</v>
      </c>
      <c r="G82" s="3">
        <v>0</v>
      </c>
      <c r="H82" s="3">
        <v>0</v>
      </c>
      <c r="I82" s="3">
        <v>240</v>
      </c>
      <c r="J82" s="3">
        <v>65</v>
      </c>
      <c r="K82" s="3">
        <v>2</v>
      </c>
      <c r="L82" s="3">
        <v>60</v>
      </c>
      <c r="M82" s="3">
        <v>4</v>
      </c>
      <c r="N82" s="3">
        <v>0.04</v>
      </c>
      <c r="O82" s="3">
        <v>0</v>
      </c>
      <c r="P82" s="3">
        <v>0.1</v>
      </c>
      <c r="Q82" s="3">
        <v>0.3</v>
      </c>
      <c r="R82" s="3">
        <v>110</v>
      </c>
    </row>
    <row r="83" spans="1:18" ht="40" x14ac:dyDescent="0.25">
      <c r="A83" s="5" t="s">
        <v>67</v>
      </c>
      <c r="B83" s="5" t="s">
        <v>69</v>
      </c>
      <c r="C83" s="3" t="s">
        <v>68</v>
      </c>
      <c r="D83" s="3">
        <v>290</v>
      </c>
      <c r="E83" s="3">
        <v>4</v>
      </c>
      <c r="F83" s="3">
        <v>2.5</v>
      </c>
      <c r="G83" s="3">
        <v>0.1</v>
      </c>
      <c r="H83" s="3">
        <v>10</v>
      </c>
      <c r="I83" s="3">
        <v>220</v>
      </c>
      <c r="J83" s="3">
        <v>61</v>
      </c>
      <c r="K83" s="3">
        <v>1</v>
      </c>
      <c r="L83" s="3">
        <v>58</v>
      </c>
      <c r="M83" s="3">
        <v>4</v>
      </c>
      <c r="N83" s="3">
        <v>0.04</v>
      </c>
      <c r="O83" s="3">
        <v>0</v>
      </c>
      <c r="P83" s="3">
        <v>0.1</v>
      </c>
      <c r="Q83" s="3">
        <v>0.08</v>
      </c>
      <c r="R83" s="3">
        <v>110</v>
      </c>
    </row>
    <row r="84" spans="1:18" ht="40" x14ac:dyDescent="0.25">
      <c r="A84" s="5" t="s">
        <v>67</v>
      </c>
      <c r="B84" s="5" t="s">
        <v>70</v>
      </c>
      <c r="C84" s="3" t="s">
        <v>35</v>
      </c>
      <c r="D84" s="3">
        <v>280</v>
      </c>
      <c r="E84" s="3">
        <v>0.1</v>
      </c>
      <c r="F84" s="3">
        <v>0.1</v>
      </c>
      <c r="G84" s="3">
        <v>0</v>
      </c>
      <c r="H84" s="3">
        <v>0</v>
      </c>
      <c r="I84" s="3">
        <v>220</v>
      </c>
      <c r="J84" s="3">
        <v>60</v>
      </c>
      <c r="K84" s="3">
        <v>0</v>
      </c>
      <c r="L84" s="3">
        <v>59</v>
      </c>
      <c r="M84" s="3">
        <v>4</v>
      </c>
      <c r="N84" s="3">
        <v>0.06</v>
      </c>
      <c r="O84" s="3">
        <v>0</v>
      </c>
      <c r="P84" s="3">
        <v>0.1</v>
      </c>
      <c r="Q84" s="3">
        <v>0</v>
      </c>
      <c r="R84" s="3">
        <v>100</v>
      </c>
    </row>
    <row r="85" spans="1:18" ht="40" x14ac:dyDescent="0.25">
      <c r="A85" s="5" t="s">
        <v>67</v>
      </c>
      <c r="B85" s="5" t="s">
        <v>70</v>
      </c>
      <c r="C85" s="3" t="s">
        <v>68</v>
      </c>
      <c r="D85" s="3">
        <v>280</v>
      </c>
      <c r="E85" s="3">
        <v>3.5</v>
      </c>
      <c r="F85" s="3">
        <v>2</v>
      </c>
      <c r="G85" s="3">
        <v>0.1</v>
      </c>
      <c r="H85" s="3">
        <v>10</v>
      </c>
      <c r="I85" s="3">
        <v>220</v>
      </c>
      <c r="J85" s="3">
        <v>60</v>
      </c>
      <c r="K85" s="3">
        <v>0</v>
      </c>
      <c r="L85" s="3">
        <v>59</v>
      </c>
      <c r="M85" s="3">
        <v>3</v>
      </c>
      <c r="N85" s="3">
        <v>0.04</v>
      </c>
      <c r="O85" s="3">
        <v>0</v>
      </c>
      <c r="P85" s="3">
        <v>0.1</v>
      </c>
      <c r="Q85" s="3">
        <v>0</v>
      </c>
      <c r="R85" s="3">
        <v>100</v>
      </c>
    </row>
    <row r="86" spans="1:18" ht="40" x14ac:dyDescent="0.25">
      <c r="A86" s="5" t="s">
        <v>67</v>
      </c>
      <c r="B86" s="5" t="s">
        <v>69</v>
      </c>
      <c r="C86" s="3" t="s">
        <v>35</v>
      </c>
      <c r="D86" s="3">
        <v>260</v>
      </c>
      <c r="E86" s="3">
        <v>1</v>
      </c>
      <c r="F86" s="3">
        <v>0.5</v>
      </c>
      <c r="G86" s="3">
        <v>0</v>
      </c>
      <c r="H86" s="3">
        <v>0</v>
      </c>
      <c r="I86" s="3">
        <v>220</v>
      </c>
      <c r="J86" s="3">
        <v>61</v>
      </c>
      <c r="K86" s="3">
        <v>1</v>
      </c>
      <c r="L86" s="3">
        <v>58</v>
      </c>
      <c r="M86" s="3">
        <v>4</v>
      </c>
      <c r="N86" s="3">
        <v>0.06</v>
      </c>
      <c r="O86" s="3">
        <v>0</v>
      </c>
      <c r="P86" s="3">
        <v>0.1</v>
      </c>
      <c r="Q86" s="3">
        <v>0.08</v>
      </c>
      <c r="R86" s="3">
        <v>110</v>
      </c>
    </row>
    <row r="87" spans="1:18" ht="40" x14ac:dyDescent="0.25">
      <c r="A87" s="5" t="s">
        <v>67</v>
      </c>
      <c r="B87" s="5" t="s">
        <v>69</v>
      </c>
      <c r="C87" s="3" t="s">
        <v>33</v>
      </c>
      <c r="D87" s="3">
        <v>260</v>
      </c>
      <c r="E87" s="3">
        <v>2.5</v>
      </c>
      <c r="F87" s="3">
        <v>0.5</v>
      </c>
      <c r="G87" s="3">
        <v>0</v>
      </c>
      <c r="H87" s="3">
        <v>0</v>
      </c>
      <c r="I87" s="3">
        <v>220</v>
      </c>
      <c r="J87" s="3">
        <v>59</v>
      </c>
      <c r="K87" s="3">
        <v>1</v>
      </c>
      <c r="L87" s="3">
        <v>55</v>
      </c>
      <c r="M87" s="3">
        <v>4</v>
      </c>
      <c r="N87" s="3">
        <v>0.04</v>
      </c>
      <c r="O87" s="3">
        <v>0</v>
      </c>
      <c r="P87" s="3">
        <v>0.1</v>
      </c>
      <c r="Q87" s="3">
        <v>0.15</v>
      </c>
      <c r="R87" s="3">
        <v>110</v>
      </c>
    </row>
    <row r="88" spans="1:18" ht="40" x14ac:dyDescent="0.25">
      <c r="A88" s="5" t="s">
        <v>67</v>
      </c>
      <c r="B88" s="5" t="s">
        <v>70</v>
      </c>
      <c r="C88" s="3" t="s">
        <v>33</v>
      </c>
      <c r="D88" s="3">
        <v>260</v>
      </c>
      <c r="E88" s="3">
        <v>1.5</v>
      </c>
      <c r="F88" s="3">
        <v>0.2</v>
      </c>
      <c r="G88" s="3">
        <v>0</v>
      </c>
      <c r="H88" s="3">
        <v>0</v>
      </c>
      <c r="I88" s="3">
        <v>220</v>
      </c>
      <c r="J88" s="3">
        <v>58</v>
      </c>
      <c r="K88" s="3">
        <v>0</v>
      </c>
      <c r="L88" s="3">
        <v>56</v>
      </c>
      <c r="M88" s="3">
        <v>3</v>
      </c>
      <c r="N88" s="3">
        <v>0.04</v>
      </c>
      <c r="O88" s="3">
        <v>0</v>
      </c>
      <c r="P88" s="3">
        <v>0.1</v>
      </c>
      <c r="Q88" s="3">
        <v>0.06</v>
      </c>
      <c r="R88" s="3">
        <v>100</v>
      </c>
    </row>
    <row r="89" spans="1:18" ht="40" x14ac:dyDescent="0.25">
      <c r="A89" s="5" t="s">
        <v>67</v>
      </c>
      <c r="B89" s="5" t="s">
        <v>23</v>
      </c>
      <c r="C89" s="3" t="s">
        <v>68</v>
      </c>
      <c r="D89" s="3">
        <v>240</v>
      </c>
      <c r="E89" s="3">
        <v>3</v>
      </c>
      <c r="F89" s="3">
        <v>2</v>
      </c>
      <c r="G89" s="3">
        <v>0.1</v>
      </c>
      <c r="H89" s="3">
        <v>10</v>
      </c>
      <c r="I89" s="3">
        <v>220</v>
      </c>
      <c r="J89" s="3">
        <v>50</v>
      </c>
      <c r="K89" s="3">
        <v>0</v>
      </c>
      <c r="L89" s="3">
        <v>50</v>
      </c>
      <c r="M89" s="3">
        <v>3</v>
      </c>
      <c r="N89" s="3">
        <v>0.04</v>
      </c>
      <c r="O89" s="3">
        <v>0</v>
      </c>
      <c r="P89" s="3">
        <v>0.1</v>
      </c>
      <c r="Q89" s="3">
        <v>0</v>
      </c>
      <c r="R89" s="3">
        <v>95</v>
      </c>
    </row>
    <row r="90" spans="1:18" ht="40" x14ac:dyDescent="0.25">
      <c r="A90" s="5" t="s">
        <v>67</v>
      </c>
      <c r="B90" s="5" t="s">
        <v>71</v>
      </c>
      <c r="C90" s="3" t="s">
        <v>68</v>
      </c>
      <c r="D90" s="3">
        <v>240</v>
      </c>
      <c r="E90" s="3">
        <v>5</v>
      </c>
      <c r="F90" s="3">
        <v>3.5</v>
      </c>
      <c r="G90" s="3">
        <v>0.1</v>
      </c>
      <c r="H90" s="3">
        <v>10</v>
      </c>
      <c r="I90" s="3">
        <v>170</v>
      </c>
      <c r="J90" s="3">
        <v>47</v>
      </c>
      <c r="K90" s="3">
        <v>1</v>
      </c>
      <c r="L90" s="3">
        <v>44</v>
      </c>
      <c r="M90" s="3">
        <v>4</v>
      </c>
      <c r="N90" s="3">
        <v>0.04</v>
      </c>
      <c r="O90" s="3">
        <v>0</v>
      </c>
      <c r="P90" s="3">
        <v>0.08</v>
      </c>
      <c r="Q90" s="3">
        <v>0.2</v>
      </c>
      <c r="R90" s="3">
        <v>75</v>
      </c>
    </row>
    <row r="91" spans="1:18" ht="40" x14ac:dyDescent="0.25">
      <c r="A91" s="9" t="s">
        <v>67</v>
      </c>
      <c r="B91" s="5" t="s">
        <v>23</v>
      </c>
      <c r="C91" s="3" t="s">
        <v>35</v>
      </c>
      <c r="D91" s="3">
        <v>220</v>
      </c>
      <c r="E91" s="3">
        <v>0.1</v>
      </c>
      <c r="F91" s="3">
        <v>0.1</v>
      </c>
      <c r="G91" s="3">
        <v>0</v>
      </c>
      <c r="H91" s="3">
        <v>0</v>
      </c>
      <c r="I91" s="3">
        <v>210</v>
      </c>
      <c r="J91" s="3">
        <v>51</v>
      </c>
      <c r="K91" s="3">
        <v>0</v>
      </c>
      <c r="L91" s="3">
        <v>50</v>
      </c>
      <c r="M91" s="3">
        <v>4</v>
      </c>
      <c r="N91" s="3">
        <v>0.06</v>
      </c>
      <c r="O91" s="3">
        <v>0</v>
      </c>
      <c r="P91" s="3">
        <v>0.1</v>
      </c>
      <c r="Q91" s="3">
        <v>0.04</v>
      </c>
      <c r="R91" s="3">
        <v>70</v>
      </c>
    </row>
    <row r="92" spans="1:18" ht="40" x14ac:dyDescent="0.25">
      <c r="A92" s="5" t="s">
        <v>67</v>
      </c>
      <c r="B92" s="5" t="s">
        <v>23</v>
      </c>
      <c r="C92" s="3" t="s">
        <v>33</v>
      </c>
      <c r="D92" s="3">
        <v>220</v>
      </c>
      <c r="E92" s="3">
        <v>1.5</v>
      </c>
      <c r="F92" s="3">
        <v>0.2</v>
      </c>
      <c r="G92" s="3">
        <v>0</v>
      </c>
      <c r="H92" s="3">
        <v>0</v>
      </c>
      <c r="I92" s="3">
        <v>210</v>
      </c>
      <c r="J92" s="3">
        <v>49</v>
      </c>
      <c r="K92" s="3">
        <v>0</v>
      </c>
      <c r="L92" s="3">
        <v>47</v>
      </c>
      <c r="M92" s="3">
        <v>3</v>
      </c>
      <c r="N92" s="3">
        <v>0.04</v>
      </c>
      <c r="O92" s="3">
        <v>0</v>
      </c>
      <c r="P92" s="3">
        <v>0.1</v>
      </c>
      <c r="Q92" s="3">
        <v>0</v>
      </c>
      <c r="R92" s="3">
        <v>95</v>
      </c>
    </row>
    <row r="93" spans="1:18" ht="40" x14ac:dyDescent="0.25">
      <c r="A93" s="5" t="s">
        <v>67</v>
      </c>
      <c r="B93" s="5" t="s">
        <v>71</v>
      </c>
      <c r="C93" s="3" t="s">
        <v>34</v>
      </c>
      <c r="D93" s="3">
        <v>220</v>
      </c>
      <c r="E93" s="3">
        <v>3</v>
      </c>
      <c r="F93" s="3">
        <v>2</v>
      </c>
      <c r="G93" s="3">
        <v>0</v>
      </c>
      <c r="H93" s="3">
        <v>0</v>
      </c>
      <c r="I93" s="3">
        <v>170</v>
      </c>
      <c r="J93" s="3">
        <v>47</v>
      </c>
      <c r="K93" s="3">
        <v>1</v>
      </c>
      <c r="L93" s="3">
        <v>44</v>
      </c>
      <c r="M93" s="3">
        <v>4</v>
      </c>
      <c r="N93" s="3">
        <v>0.04</v>
      </c>
      <c r="O93" s="3">
        <v>0</v>
      </c>
      <c r="P93" s="3">
        <v>0.1</v>
      </c>
      <c r="Q93" s="3">
        <v>0.2</v>
      </c>
      <c r="R93" s="3">
        <v>75</v>
      </c>
    </row>
    <row r="94" spans="1:18" ht="40" x14ac:dyDescent="0.25">
      <c r="A94" s="5" t="s">
        <v>67</v>
      </c>
      <c r="B94" s="5" t="s">
        <v>71</v>
      </c>
      <c r="C94" s="3" t="s">
        <v>33</v>
      </c>
      <c r="D94" s="3">
        <v>220</v>
      </c>
      <c r="E94" s="3">
        <v>4</v>
      </c>
      <c r="F94" s="3">
        <v>2.5</v>
      </c>
      <c r="G94" s="3">
        <v>0</v>
      </c>
      <c r="H94" s="3">
        <v>0</v>
      </c>
      <c r="I94" s="3">
        <v>170</v>
      </c>
      <c r="J94" s="3">
        <v>45</v>
      </c>
      <c r="K94" s="3">
        <v>1</v>
      </c>
      <c r="L94" s="3">
        <v>42</v>
      </c>
      <c r="M94" s="3">
        <v>3</v>
      </c>
      <c r="N94" s="3">
        <v>0.04</v>
      </c>
      <c r="O94" s="3">
        <v>0</v>
      </c>
      <c r="P94" s="3">
        <v>0.1</v>
      </c>
      <c r="Q94" s="3">
        <v>0.2</v>
      </c>
      <c r="R94" s="3">
        <v>75</v>
      </c>
    </row>
    <row r="95" spans="1:18" ht="40" x14ac:dyDescent="0.25">
      <c r="A95" s="5" t="s">
        <v>67</v>
      </c>
      <c r="B95" s="5" t="s">
        <v>69</v>
      </c>
      <c r="C95" s="3" t="s">
        <v>68</v>
      </c>
      <c r="D95" s="3">
        <v>200</v>
      </c>
      <c r="E95" s="3">
        <v>3</v>
      </c>
      <c r="F95" s="3">
        <v>2</v>
      </c>
      <c r="G95" s="3">
        <v>0.1</v>
      </c>
      <c r="H95" s="3">
        <v>10</v>
      </c>
      <c r="I95" s="3">
        <v>160</v>
      </c>
      <c r="J95" s="3">
        <v>42</v>
      </c>
      <c r="K95" s="3">
        <v>1</v>
      </c>
      <c r="L95" s="3">
        <v>40</v>
      </c>
      <c r="M95" s="3">
        <v>3</v>
      </c>
      <c r="N95" s="3">
        <v>0.04</v>
      </c>
      <c r="O95" s="3">
        <v>0</v>
      </c>
      <c r="P95" s="3">
        <v>0.08</v>
      </c>
      <c r="Q95" s="3">
        <v>0.06</v>
      </c>
      <c r="R95" s="3">
        <v>70</v>
      </c>
    </row>
    <row r="96" spans="1:18" ht="40" x14ac:dyDescent="0.25">
      <c r="A96" s="5" t="s">
        <v>67</v>
      </c>
      <c r="B96" s="5" t="s">
        <v>70</v>
      </c>
      <c r="C96" s="3" t="s">
        <v>68</v>
      </c>
      <c r="D96" s="3">
        <v>200</v>
      </c>
      <c r="E96" s="3">
        <v>2.5</v>
      </c>
      <c r="F96" s="3">
        <v>1.5</v>
      </c>
      <c r="G96" s="3">
        <v>0.1</v>
      </c>
      <c r="H96" s="3">
        <v>10</v>
      </c>
      <c r="I96" s="3">
        <v>160</v>
      </c>
      <c r="J96" s="3">
        <v>42</v>
      </c>
      <c r="K96" s="3">
        <v>0</v>
      </c>
      <c r="L96" s="3">
        <v>41</v>
      </c>
      <c r="M96" s="3">
        <v>3</v>
      </c>
      <c r="N96" s="3">
        <v>0.04</v>
      </c>
      <c r="O96" s="3">
        <v>0</v>
      </c>
      <c r="P96" s="3">
        <v>0.08</v>
      </c>
      <c r="Q96" s="3">
        <v>0</v>
      </c>
      <c r="R96" s="3">
        <v>70</v>
      </c>
    </row>
    <row r="97" spans="1:18" ht="40" x14ac:dyDescent="0.25">
      <c r="A97" s="5" t="s">
        <v>67</v>
      </c>
      <c r="B97" s="5" t="s">
        <v>23</v>
      </c>
      <c r="C97" s="3" t="s">
        <v>68</v>
      </c>
      <c r="D97" s="3">
        <v>180</v>
      </c>
      <c r="E97" s="3">
        <v>2.5</v>
      </c>
      <c r="F97" s="3">
        <v>1.5</v>
      </c>
      <c r="G97" s="3">
        <v>0.1</v>
      </c>
      <c r="H97" s="3">
        <v>10</v>
      </c>
      <c r="I97" s="3">
        <v>160</v>
      </c>
      <c r="J97" s="3">
        <v>36</v>
      </c>
      <c r="K97" s="3">
        <v>0</v>
      </c>
      <c r="L97" s="3">
        <v>36</v>
      </c>
      <c r="M97" s="3">
        <v>3</v>
      </c>
      <c r="N97" s="3">
        <v>0.04</v>
      </c>
      <c r="O97" s="3">
        <v>0</v>
      </c>
      <c r="P97" s="3">
        <v>0.08</v>
      </c>
      <c r="Q97" s="3">
        <v>0</v>
      </c>
      <c r="R97" s="3">
        <v>70</v>
      </c>
    </row>
    <row r="98" spans="1:18" ht="40" x14ac:dyDescent="0.25">
      <c r="A98" s="5" t="s">
        <v>67</v>
      </c>
      <c r="B98" s="5" t="s">
        <v>69</v>
      </c>
      <c r="C98" s="3" t="s">
        <v>34</v>
      </c>
      <c r="D98" s="3">
        <v>180</v>
      </c>
      <c r="E98" s="3">
        <v>0.5</v>
      </c>
      <c r="F98" s="3">
        <v>0.4</v>
      </c>
      <c r="G98" s="3">
        <v>0</v>
      </c>
      <c r="H98" s="3">
        <v>0</v>
      </c>
      <c r="I98" s="3">
        <v>150</v>
      </c>
      <c r="J98" s="3">
        <v>42</v>
      </c>
      <c r="K98" s="3">
        <v>1</v>
      </c>
      <c r="L98" s="3">
        <v>40</v>
      </c>
      <c r="M98" s="3">
        <v>3</v>
      </c>
      <c r="N98" s="3">
        <v>0.04</v>
      </c>
      <c r="O98" s="3">
        <v>0</v>
      </c>
      <c r="P98" s="3">
        <v>0.1</v>
      </c>
      <c r="Q98" s="3">
        <v>0.08</v>
      </c>
      <c r="R98" s="3">
        <v>130</v>
      </c>
    </row>
    <row r="99" spans="1:18" ht="40" x14ac:dyDescent="0.25">
      <c r="A99" s="5" t="s">
        <v>67</v>
      </c>
      <c r="B99" s="5" t="s">
        <v>69</v>
      </c>
      <c r="C99" s="3" t="s">
        <v>33</v>
      </c>
      <c r="D99" s="3">
        <v>180</v>
      </c>
      <c r="E99" s="3">
        <v>2</v>
      </c>
      <c r="F99" s="3">
        <v>0.5</v>
      </c>
      <c r="G99" s="3">
        <v>0</v>
      </c>
      <c r="H99" s="3">
        <v>0</v>
      </c>
      <c r="I99" s="3">
        <v>150</v>
      </c>
      <c r="J99" s="3">
        <v>40</v>
      </c>
      <c r="K99" s="3">
        <v>1</v>
      </c>
      <c r="L99" s="3">
        <v>38</v>
      </c>
      <c r="M99" s="3">
        <v>3</v>
      </c>
      <c r="N99" s="3">
        <v>0.04</v>
      </c>
      <c r="O99" s="3">
        <v>0</v>
      </c>
      <c r="P99" s="3">
        <v>0.1</v>
      </c>
      <c r="Q99" s="3">
        <v>0.1</v>
      </c>
      <c r="R99" s="3">
        <v>70</v>
      </c>
    </row>
    <row r="100" spans="1:18" ht="40" x14ac:dyDescent="0.25">
      <c r="A100" s="5" t="s">
        <v>67</v>
      </c>
      <c r="B100" s="5" t="s">
        <v>70</v>
      </c>
      <c r="C100" s="3" t="s">
        <v>34</v>
      </c>
      <c r="D100" s="3">
        <v>180</v>
      </c>
      <c r="E100" s="3">
        <v>0.1</v>
      </c>
      <c r="F100" s="3">
        <v>0</v>
      </c>
      <c r="G100" s="3">
        <v>0</v>
      </c>
      <c r="H100" s="3">
        <v>0</v>
      </c>
      <c r="I100" s="3">
        <v>160</v>
      </c>
      <c r="J100" s="3">
        <v>42</v>
      </c>
      <c r="K100" s="3">
        <v>0</v>
      </c>
      <c r="L100" s="3">
        <v>41</v>
      </c>
      <c r="M100" s="3">
        <v>3</v>
      </c>
      <c r="N100" s="3">
        <v>0.04</v>
      </c>
      <c r="O100" s="3">
        <v>0</v>
      </c>
      <c r="P100" s="3">
        <v>0.1</v>
      </c>
      <c r="Q100" s="3">
        <v>0</v>
      </c>
      <c r="R100" s="3">
        <v>70</v>
      </c>
    </row>
    <row r="101" spans="1:18" ht="40" x14ac:dyDescent="0.25">
      <c r="A101" s="5" t="s">
        <v>67</v>
      </c>
      <c r="B101" s="5" t="s">
        <v>70</v>
      </c>
      <c r="C101" s="3" t="s">
        <v>33</v>
      </c>
      <c r="D101" s="3">
        <v>180</v>
      </c>
      <c r="E101" s="3">
        <v>1.5</v>
      </c>
      <c r="F101" s="3">
        <v>0.2</v>
      </c>
      <c r="G101" s="3">
        <v>0</v>
      </c>
      <c r="H101" s="3">
        <v>0</v>
      </c>
      <c r="I101" s="3">
        <v>150</v>
      </c>
      <c r="J101" s="3">
        <v>40</v>
      </c>
      <c r="K101" s="3">
        <v>0</v>
      </c>
      <c r="L101" s="3">
        <v>39</v>
      </c>
      <c r="M101" s="3">
        <v>2</v>
      </c>
      <c r="N101" s="3">
        <v>0.04</v>
      </c>
      <c r="O101" s="3">
        <v>0</v>
      </c>
      <c r="P101" s="3">
        <v>0.1</v>
      </c>
      <c r="Q101" s="3">
        <v>0.04</v>
      </c>
      <c r="R101" s="3">
        <v>70</v>
      </c>
    </row>
    <row r="102" spans="1:18" ht="40" x14ac:dyDescent="0.25">
      <c r="A102" s="5" t="s">
        <v>67</v>
      </c>
      <c r="B102" s="5" t="s">
        <v>23</v>
      </c>
      <c r="C102" s="3" t="s">
        <v>34</v>
      </c>
      <c r="D102" s="3">
        <v>160</v>
      </c>
      <c r="E102" s="3">
        <v>0.1</v>
      </c>
      <c r="F102" s="3">
        <v>0</v>
      </c>
      <c r="G102" s="3">
        <v>0</v>
      </c>
      <c r="H102" s="3">
        <v>0</v>
      </c>
      <c r="I102" s="3">
        <v>160</v>
      </c>
      <c r="J102" s="3">
        <v>36</v>
      </c>
      <c r="K102" s="3">
        <v>0</v>
      </c>
      <c r="L102" s="3">
        <v>36</v>
      </c>
      <c r="M102" s="3">
        <v>3</v>
      </c>
      <c r="N102" s="3">
        <v>0.04</v>
      </c>
      <c r="O102" s="3">
        <v>0</v>
      </c>
      <c r="P102" s="3">
        <v>0.1</v>
      </c>
      <c r="Q102" s="3">
        <v>0.1</v>
      </c>
      <c r="R102" s="3">
        <v>0</v>
      </c>
    </row>
    <row r="103" spans="1:18" ht="40" x14ac:dyDescent="0.25">
      <c r="A103" s="5" t="s">
        <v>67</v>
      </c>
      <c r="B103" s="5" t="s">
        <v>23</v>
      </c>
      <c r="C103" s="3" t="s">
        <v>33</v>
      </c>
      <c r="D103" s="3">
        <v>160</v>
      </c>
      <c r="E103" s="3">
        <v>1.5</v>
      </c>
      <c r="F103" s="3">
        <v>0.2</v>
      </c>
      <c r="G103" s="3">
        <v>0</v>
      </c>
      <c r="H103" s="3">
        <v>0</v>
      </c>
      <c r="I103" s="3">
        <v>150</v>
      </c>
      <c r="J103" s="3">
        <v>35</v>
      </c>
      <c r="K103" s="3">
        <v>0</v>
      </c>
      <c r="L103" s="3">
        <v>34</v>
      </c>
      <c r="M103" s="3">
        <v>2</v>
      </c>
      <c r="N103" s="3">
        <v>0.04</v>
      </c>
      <c r="O103" s="3">
        <v>0</v>
      </c>
      <c r="P103" s="3">
        <v>0.1</v>
      </c>
      <c r="Q103" s="3">
        <v>0</v>
      </c>
      <c r="R103" s="3">
        <v>70</v>
      </c>
    </row>
    <row r="104" spans="1:18" ht="40" x14ac:dyDescent="0.25">
      <c r="A104" s="5" t="s">
        <v>76</v>
      </c>
      <c r="B104" s="5" t="s">
        <v>77</v>
      </c>
      <c r="C104" s="3" t="s">
        <v>68</v>
      </c>
      <c r="D104" s="3">
        <v>350</v>
      </c>
      <c r="E104" s="3">
        <v>6</v>
      </c>
      <c r="F104" s="3">
        <v>3</v>
      </c>
      <c r="G104" s="3">
        <v>0.2</v>
      </c>
      <c r="H104" s="3">
        <v>15</v>
      </c>
      <c r="I104" s="3">
        <v>260</v>
      </c>
      <c r="J104" s="3">
        <v>70</v>
      </c>
      <c r="K104" s="3">
        <v>0</v>
      </c>
      <c r="L104" s="3">
        <v>68</v>
      </c>
      <c r="M104" s="3">
        <v>6</v>
      </c>
      <c r="N104" s="3">
        <v>0.08</v>
      </c>
      <c r="O104" s="3">
        <v>0.08</v>
      </c>
      <c r="P104" s="3">
        <v>0.2</v>
      </c>
      <c r="Q104" s="3">
        <v>0.04</v>
      </c>
      <c r="R104" s="3">
        <v>0</v>
      </c>
    </row>
    <row r="105" spans="1:18" ht="40" x14ac:dyDescent="0.25">
      <c r="A105" s="9" t="s">
        <v>76</v>
      </c>
      <c r="B105" s="5" t="s">
        <v>77</v>
      </c>
      <c r="C105" s="3" t="s">
        <v>33</v>
      </c>
      <c r="D105" s="3">
        <v>320</v>
      </c>
      <c r="E105" s="3" t="s">
        <v>78</v>
      </c>
      <c r="F105" s="3">
        <v>0.4</v>
      </c>
      <c r="G105" s="3">
        <v>0</v>
      </c>
      <c r="H105" s="3">
        <v>0</v>
      </c>
      <c r="I105" s="3">
        <v>250</v>
      </c>
      <c r="J105" s="3">
        <v>67</v>
      </c>
      <c r="K105" s="3">
        <v>1</v>
      </c>
      <c r="L105" s="3">
        <v>64</v>
      </c>
      <c r="M105" s="3">
        <v>5</v>
      </c>
      <c r="N105" s="3">
        <v>0.06</v>
      </c>
      <c r="O105" s="3">
        <v>0.08</v>
      </c>
      <c r="P105" s="3">
        <v>0.2</v>
      </c>
      <c r="Q105" s="3">
        <v>0.1</v>
      </c>
      <c r="R105" s="3">
        <v>0</v>
      </c>
    </row>
    <row r="106" spans="1:18" ht="40" x14ac:dyDescent="0.25">
      <c r="A106" s="5" t="s">
        <v>76</v>
      </c>
      <c r="B106" s="5" t="s">
        <v>77</v>
      </c>
      <c r="C106" s="3" t="s">
        <v>36</v>
      </c>
      <c r="D106" s="3">
        <v>310</v>
      </c>
      <c r="E106" s="3">
        <v>0.2</v>
      </c>
      <c r="F106" s="3">
        <v>0.1</v>
      </c>
      <c r="G106" s="3">
        <v>0</v>
      </c>
      <c r="H106" s="3">
        <v>5</v>
      </c>
      <c r="I106" s="3">
        <v>260</v>
      </c>
      <c r="J106" s="3">
        <v>70</v>
      </c>
      <c r="K106" s="3">
        <v>0</v>
      </c>
      <c r="L106" s="3">
        <v>69</v>
      </c>
      <c r="M106" s="3">
        <v>6</v>
      </c>
      <c r="N106" s="3">
        <v>0.1</v>
      </c>
      <c r="O106" s="3">
        <v>0.08</v>
      </c>
      <c r="P106" s="3">
        <v>0.2</v>
      </c>
      <c r="Q106" s="3">
        <v>0.04</v>
      </c>
      <c r="R106" s="3">
        <v>0</v>
      </c>
    </row>
    <row r="107" spans="1:18" ht="40" x14ac:dyDescent="0.25">
      <c r="A107" s="5" t="s">
        <v>76</v>
      </c>
      <c r="B107" s="5" t="s">
        <v>77</v>
      </c>
      <c r="C107" s="3" t="s">
        <v>68</v>
      </c>
      <c r="D107" s="3">
        <v>260</v>
      </c>
      <c r="E107" s="3">
        <v>4</v>
      </c>
      <c r="F107" s="3">
        <v>2</v>
      </c>
      <c r="G107" s="3">
        <v>0.1</v>
      </c>
      <c r="H107" s="3">
        <v>10</v>
      </c>
      <c r="I107" s="3">
        <v>190</v>
      </c>
      <c r="J107" s="3">
        <v>53</v>
      </c>
      <c r="K107" s="3">
        <v>0</v>
      </c>
      <c r="L107" s="3">
        <v>52</v>
      </c>
      <c r="M107" s="3">
        <v>4</v>
      </c>
      <c r="N107" s="3">
        <v>0.06</v>
      </c>
      <c r="O107" s="3">
        <v>0.06</v>
      </c>
      <c r="P107" s="3">
        <v>0.15</v>
      </c>
      <c r="Q107" s="3">
        <v>0.04</v>
      </c>
      <c r="R107" s="3">
        <v>0</v>
      </c>
    </row>
    <row r="108" spans="1:18" ht="40" x14ac:dyDescent="0.25">
      <c r="A108" s="9" t="s">
        <v>76</v>
      </c>
      <c r="B108" s="5" t="s">
        <v>77</v>
      </c>
      <c r="C108" s="3" t="s">
        <v>33</v>
      </c>
      <c r="D108" s="3">
        <v>240</v>
      </c>
      <c r="E108" s="3">
        <v>2</v>
      </c>
      <c r="F108" s="3">
        <v>0.2</v>
      </c>
      <c r="G108" s="3">
        <v>0</v>
      </c>
      <c r="H108" s="3">
        <v>0</v>
      </c>
      <c r="I108" s="3">
        <v>180</v>
      </c>
      <c r="J108" s="3">
        <v>51</v>
      </c>
      <c r="K108" s="3">
        <v>1</v>
      </c>
      <c r="L108" s="3">
        <v>49</v>
      </c>
      <c r="M108" s="3">
        <v>3</v>
      </c>
      <c r="N108" s="3">
        <v>0.04</v>
      </c>
      <c r="O108" s="3">
        <v>0.06</v>
      </c>
      <c r="P108" s="3">
        <v>0.15</v>
      </c>
      <c r="Q108" s="3">
        <v>0.08</v>
      </c>
      <c r="R108" s="3">
        <v>0</v>
      </c>
    </row>
    <row r="109" spans="1:18" ht="40" x14ac:dyDescent="0.25">
      <c r="A109" s="5" t="s">
        <v>76</v>
      </c>
      <c r="B109" s="5" t="s">
        <v>79</v>
      </c>
      <c r="C109" s="3" t="s">
        <v>35</v>
      </c>
      <c r="D109" s="3">
        <v>240</v>
      </c>
      <c r="E109" s="3">
        <v>0.1</v>
      </c>
      <c r="F109" s="3">
        <v>0.1</v>
      </c>
      <c r="G109" s="3">
        <v>0</v>
      </c>
      <c r="H109" s="3">
        <v>5</v>
      </c>
      <c r="I109" s="3">
        <v>230</v>
      </c>
      <c r="J109" s="3">
        <v>56</v>
      </c>
      <c r="K109" s="3">
        <v>0</v>
      </c>
      <c r="L109" s="3">
        <v>55</v>
      </c>
      <c r="M109" s="3">
        <v>5</v>
      </c>
      <c r="N109" s="3">
        <v>0.08</v>
      </c>
      <c r="O109" s="3">
        <v>0</v>
      </c>
      <c r="P109" s="3">
        <v>0.15</v>
      </c>
      <c r="Q109" s="3">
        <v>0</v>
      </c>
      <c r="R109" s="3">
        <v>0</v>
      </c>
    </row>
    <row r="110" spans="1:18" ht="40" x14ac:dyDescent="0.25">
      <c r="A110" s="5" t="s">
        <v>76</v>
      </c>
      <c r="B110" s="5" t="s">
        <v>77</v>
      </c>
      <c r="C110" s="3" t="s">
        <v>35</v>
      </c>
      <c r="D110" s="3">
        <v>230</v>
      </c>
      <c r="E110" s="3">
        <v>0.2</v>
      </c>
      <c r="F110" s="3">
        <v>0.1</v>
      </c>
      <c r="G110" s="3">
        <v>0</v>
      </c>
      <c r="H110" s="3">
        <v>0</v>
      </c>
      <c r="I110" s="3">
        <v>190</v>
      </c>
      <c r="J110" s="3">
        <v>53</v>
      </c>
      <c r="K110" s="3">
        <v>0</v>
      </c>
      <c r="L110" s="3">
        <v>52</v>
      </c>
      <c r="M110" s="3">
        <v>4</v>
      </c>
      <c r="N110" s="3">
        <v>0.08</v>
      </c>
      <c r="O110" s="3">
        <v>0.06</v>
      </c>
      <c r="P110" s="3">
        <v>0.15</v>
      </c>
      <c r="Q110" s="3">
        <v>0.04</v>
      </c>
      <c r="R110" s="3">
        <v>0</v>
      </c>
    </row>
    <row r="111" spans="1:18" ht="40" x14ac:dyDescent="0.25">
      <c r="A111" s="5" t="s">
        <v>76</v>
      </c>
      <c r="B111" s="5" t="s">
        <v>79</v>
      </c>
      <c r="C111" s="3" t="s">
        <v>68</v>
      </c>
      <c r="D111" s="3">
        <v>200</v>
      </c>
      <c r="E111" s="3">
        <v>3.5</v>
      </c>
      <c r="F111" s="3">
        <v>2</v>
      </c>
      <c r="G111" s="3">
        <v>0.1</v>
      </c>
      <c r="H111" s="3">
        <v>10</v>
      </c>
      <c r="I111" s="3">
        <v>160</v>
      </c>
      <c r="J111" s="3">
        <v>39</v>
      </c>
      <c r="K111" s="3">
        <v>0</v>
      </c>
      <c r="L111" s="3">
        <v>38</v>
      </c>
      <c r="M111" s="3">
        <v>3</v>
      </c>
      <c r="N111" s="3">
        <v>0.06</v>
      </c>
      <c r="O111" s="3">
        <v>0</v>
      </c>
      <c r="P111" s="3">
        <v>0.1</v>
      </c>
      <c r="Q111" s="3">
        <v>0</v>
      </c>
      <c r="R111" s="3">
        <v>0</v>
      </c>
    </row>
    <row r="112" spans="1:18" ht="40" x14ac:dyDescent="0.25">
      <c r="A112" s="5" t="s">
        <v>76</v>
      </c>
      <c r="B112" s="5" t="s">
        <v>77</v>
      </c>
      <c r="C112" s="3" t="s">
        <v>68</v>
      </c>
      <c r="D112" s="3">
        <v>190</v>
      </c>
      <c r="E112" s="3">
        <v>3</v>
      </c>
      <c r="F112" s="3">
        <v>1.5</v>
      </c>
      <c r="G112" s="3">
        <v>0.1</v>
      </c>
      <c r="H112" s="3">
        <v>10</v>
      </c>
      <c r="I112" s="3">
        <v>140</v>
      </c>
      <c r="J112" s="3">
        <v>38</v>
      </c>
      <c r="K112" s="3">
        <v>0</v>
      </c>
      <c r="L112" s="3">
        <v>37</v>
      </c>
      <c r="M112" s="3">
        <v>3</v>
      </c>
      <c r="N112" s="3">
        <v>0.04</v>
      </c>
      <c r="O112" s="3">
        <v>0.06</v>
      </c>
      <c r="P112" s="3">
        <v>0.1</v>
      </c>
      <c r="Q112" s="3">
        <v>0.02</v>
      </c>
      <c r="R112" s="3">
        <v>0</v>
      </c>
    </row>
    <row r="113" spans="1:18" ht="40" x14ac:dyDescent="0.25">
      <c r="A113" s="5" t="s">
        <v>76</v>
      </c>
      <c r="B113" s="5" t="s">
        <v>79</v>
      </c>
      <c r="C113" s="3" t="s">
        <v>33</v>
      </c>
      <c r="D113" s="3">
        <v>180</v>
      </c>
      <c r="E113" s="3">
        <v>1.5</v>
      </c>
      <c r="F113" s="3">
        <v>0.2</v>
      </c>
      <c r="G113" s="3">
        <v>0</v>
      </c>
      <c r="H113" s="3">
        <v>0</v>
      </c>
      <c r="I113" s="3">
        <v>160</v>
      </c>
      <c r="J113" s="3">
        <v>37</v>
      </c>
      <c r="K113" s="3">
        <v>1</v>
      </c>
      <c r="L113" s="3">
        <v>35</v>
      </c>
      <c r="M113" s="3">
        <v>3</v>
      </c>
      <c r="N113" s="3">
        <v>0.04</v>
      </c>
      <c r="O113" s="3">
        <v>0</v>
      </c>
      <c r="P113" s="3">
        <v>0.1</v>
      </c>
      <c r="Q113" s="3">
        <v>0.06</v>
      </c>
      <c r="R113" s="3">
        <v>0</v>
      </c>
    </row>
    <row r="114" spans="1:18" ht="40" x14ac:dyDescent="0.25">
      <c r="A114" s="5" t="s">
        <v>76</v>
      </c>
      <c r="B114" s="5" t="s">
        <v>77</v>
      </c>
      <c r="C114" s="3" t="s">
        <v>34</v>
      </c>
      <c r="D114" s="3">
        <v>170</v>
      </c>
      <c r="E114" s="3">
        <v>0.1</v>
      </c>
      <c r="F114" s="3">
        <v>0.1</v>
      </c>
      <c r="G114" s="3">
        <v>0</v>
      </c>
      <c r="H114" s="3">
        <v>0</v>
      </c>
      <c r="I114" s="3">
        <v>140</v>
      </c>
      <c r="J114" s="3">
        <v>39</v>
      </c>
      <c r="K114" s="3">
        <v>0</v>
      </c>
      <c r="L114" s="3">
        <v>38</v>
      </c>
      <c r="M114" s="3">
        <v>3</v>
      </c>
      <c r="N114" s="3">
        <v>0.06</v>
      </c>
      <c r="O114" s="3">
        <v>0.06</v>
      </c>
      <c r="P114" s="3">
        <v>0.1</v>
      </c>
      <c r="Q114" s="3">
        <v>0.02</v>
      </c>
      <c r="R114" s="3">
        <v>0</v>
      </c>
    </row>
    <row r="115" spans="1:18" ht="40" x14ac:dyDescent="0.25">
      <c r="A115" s="5" t="s">
        <v>76</v>
      </c>
      <c r="B115" s="5" t="s">
        <v>77</v>
      </c>
      <c r="C115" s="3" t="s">
        <v>33</v>
      </c>
      <c r="D115" s="3">
        <v>170</v>
      </c>
      <c r="E115" s="3">
        <v>1.5</v>
      </c>
      <c r="F115" s="3">
        <v>0.2</v>
      </c>
      <c r="G115" s="3">
        <v>0</v>
      </c>
      <c r="H115" s="3">
        <v>0</v>
      </c>
      <c r="I115" s="3">
        <v>135</v>
      </c>
      <c r="J115" s="3">
        <v>37</v>
      </c>
      <c r="K115" s="3">
        <v>1</v>
      </c>
      <c r="L115" s="3">
        <v>35</v>
      </c>
      <c r="M115" s="3">
        <v>3</v>
      </c>
      <c r="N115" s="3">
        <v>0.04</v>
      </c>
      <c r="O115" s="3">
        <v>0.06</v>
      </c>
      <c r="P115" s="3">
        <v>0.1</v>
      </c>
      <c r="Q115" s="3">
        <v>0.06</v>
      </c>
      <c r="R115" s="3">
        <v>0</v>
      </c>
    </row>
    <row r="116" spans="1:18" ht="40" x14ac:dyDescent="0.25">
      <c r="A116" s="5" t="s">
        <v>76</v>
      </c>
      <c r="B116" s="5" t="s">
        <v>79</v>
      </c>
      <c r="C116" s="3" t="s">
        <v>34</v>
      </c>
      <c r="D116" s="3">
        <v>170</v>
      </c>
      <c r="E116" s="3">
        <v>0.1</v>
      </c>
      <c r="F116" s="3">
        <v>0.1</v>
      </c>
      <c r="G116" s="3">
        <v>0</v>
      </c>
      <c r="H116" s="3">
        <v>0</v>
      </c>
      <c r="I116" s="3">
        <v>160</v>
      </c>
      <c r="J116" s="3">
        <v>39</v>
      </c>
      <c r="K116" s="3">
        <v>0</v>
      </c>
      <c r="L116" s="3">
        <v>38</v>
      </c>
      <c r="M116" s="3">
        <v>4</v>
      </c>
      <c r="N116" s="3">
        <v>0.06</v>
      </c>
      <c r="O116" s="3">
        <v>0</v>
      </c>
      <c r="P116" s="3">
        <v>0.1</v>
      </c>
      <c r="Q116" s="3">
        <v>0</v>
      </c>
      <c r="R116" s="3">
        <v>0</v>
      </c>
    </row>
    <row r="117" spans="1:18" ht="40" x14ac:dyDescent="0.25">
      <c r="A117" s="5" t="s">
        <v>72</v>
      </c>
      <c r="B117" s="5" t="s">
        <v>75</v>
      </c>
      <c r="C117" s="3" t="s">
        <v>36</v>
      </c>
      <c r="D117" s="3">
        <v>290</v>
      </c>
      <c r="E117" s="3">
        <v>5</v>
      </c>
      <c r="F117" s="3">
        <v>4</v>
      </c>
      <c r="G117" s="3">
        <v>0</v>
      </c>
      <c r="H117" s="3">
        <v>5</v>
      </c>
      <c r="I117" s="3">
        <v>320</v>
      </c>
      <c r="J117" s="3">
        <v>58</v>
      </c>
      <c r="K117" s="3">
        <v>2</v>
      </c>
      <c r="L117" s="3">
        <v>52</v>
      </c>
      <c r="M117" s="3">
        <v>7</v>
      </c>
      <c r="N117" s="3">
        <v>0.08</v>
      </c>
      <c r="O117" s="3">
        <v>0</v>
      </c>
      <c r="P117" s="3">
        <v>0.15</v>
      </c>
      <c r="Q117" s="3">
        <v>0.35</v>
      </c>
      <c r="R117" s="3">
        <v>165</v>
      </c>
    </row>
    <row r="118" spans="1:18" ht="40" x14ac:dyDescent="0.25">
      <c r="A118" s="5" t="s">
        <v>72</v>
      </c>
      <c r="B118" s="5" t="s">
        <v>75</v>
      </c>
      <c r="C118" s="3" t="s">
        <v>35</v>
      </c>
      <c r="D118" s="3">
        <v>220</v>
      </c>
      <c r="E118" s="3">
        <v>4</v>
      </c>
      <c r="F118" s="3">
        <v>3</v>
      </c>
      <c r="G118" s="3">
        <v>0</v>
      </c>
      <c r="H118" s="3">
        <v>0</v>
      </c>
      <c r="I118" s="3">
        <v>240</v>
      </c>
      <c r="J118" s="3">
        <v>43</v>
      </c>
      <c r="K118" s="3">
        <v>2</v>
      </c>
      <c r="L118" s="3">
        <v>39</v>
      </c>
      <c r="M118" s="3">
        <v>5</v>
      </c>
      <c r="N118" s="3">
        <v>0.06</v>
      </c>
      <c r="O118" s="3">
        <v>0</v>
      </c>
      <c r="P118" s="3">
        <v>0.1</v>
      </c>
      <c r="Q118" s="3">
        <v>0.25</v>
      </c>
      <c r="R118" s="3">
        <v>105</v>
      </c>
    </row>
    <row r="119" spans="1:18" ht="40" x14ac:dyDescent="0.25">
      <c r="A119" s="5" t="s">
        <v>72</v>
      </c>
      <c r="B119" s="5" t="s">
        <v>73</v>
      </c>
      <c r="C119" s="3" t="s">
        <v>36</v>
      </c>
      <c r="D119" s="3">
        <v>210</v>
      </c>
      <c r="E119" s="3">
        <v>1</v>
      </c>
      <c r="F119" s="3">
        <v>0.5</v>
      </c>
      <c r="G119" s="3">
        <v>0</v>
      </c>
      <c r="H119" s="3">
        <v>5</v>
      </c>
      <c r="I119" s="3">
        <v>280</v>
      </c>
      <c r="J119" s="3">
        <v>46</v>
      </c>
      <c r="K119" s="3">
        <v>1</v>
      </c>
      <c r="L119" s="3">
        <v>42</v>
      </c>
      <c r="M119" s="3">
        <v>6</v>
      </c>
      <c r="N119" s="3">
        <v>0.08</v>
      </c>
      <c r="O119" s="3">
        <v>0</v>
      </c>
      <c r="P119" s="3">
        <v>0.15</v>
      </c>
      <c r="Q119" s="3">
        <v>0.1</v>
      </c>
      <c r="R119" s="3">
        <v>130</v>
      </c>
    </row>
    <row r="120" spans="1:18" ht="40" x14ac:dyDescent="0.25">
      <c r="A120" s="5" t="s">
        <v>72</v>
      </c>
      <c r="B120" s="5" t="s">
        <v>74</v>
      </c>
      <c r="C120" s="3" t="s">
        <v>36</v>
      </c>
      <c r="D120" s="3">
        <v>200</v>
      </c>
      <c r="E120" s="3">
        <v>0.1</v>
      </c>
      <c r="F120" s="3">
        <v>0.1</v>
      </c>
      <c r="G120" s="3">
        <v>0</v>
      </c>
      <c r="H120" s="3">
        <v>5</v>
      </c>
      <c r="I120" s="3">
        <v>270</v>
      </c>
      <c r="J120" s="3">
        <v>44</v>
      </c>
      <c r="K120" s="3">
        <v>0</v>
      </c>
      <c r="L120" s="3">
        <v>43</v>
      </c>
      <c r="M120" s="3">
        <v>5</v>
      </c>
      <c r="N120" s="3">
        <v>0.08</v>
      </c>
      <c r="O120" s="3">
        <v>0</v>
      </c>
      <c r="P120" s="3">
        <v>0.15</v>
      </c>
      <c r="Q120" s="3">
        <v>0.02</v>
      </c>
      <c r="R120" s="3">
        <v>120</v>
      </c>
    </row>
    <row r="121" spans="1:18" ht="40" x14ac:dyDescent="0.25">
      <c r="A121" s="5" t="s">
        <v>72</v>
      </c>
      <c r="B121" s="5" t="s">
        <v>23</v>
      </c>
      <c r="C121" s="3" t="s">
        <v>36</v>
      </c>
      <c r="D121" s="3">
        <v>160</v>
      </c>
      <c r="E121" s="3">
        <v>0.1</v>
      </c>
      <c r="F121" s="3">
        <v>0.1</v>
      </c>
      <c r="G121" s="3">
        <v>0</v>
      </c>
      <c r="H121" s="3">
        <v>5</v>
      </c>
      <c r="I121" s="3">
        <v>270</v>
      </c>
      <c r="J121" s="3">
        <v>34</v>
      </c>
      <c r="K121" s="3">
        <v>0</v>
      </c>
      <c r="L121" s="3">
        <v>33</v>
      </c>
      <c r="M121" s="3">
        <v>5</v>
      </c>
      <c r="N121" s="3">
        <v>0.08</v>
      </c>
      <c r="O121" s="3">
        <v>0</v>
      </c>
      <c r="P121" s="3">
        <v>0.15</v>
      </c>
      <c r="Q121" s="3">
        <v>0.02</v>
      </c>
      <c r="R121" s="3">
        <v>120</v>
      </c>
    </row>
    <row r="122" spans="1:18" ht="40" x14ac:dyDescent="0.25">
      <c r="A122" s="5" t="s">
        <v>72</v>
      </c>
      <c r="B122" s="5" t="s">
        <v>73</v>
      </c>
      <c r="C122" s="3" t="s">
        <v>35</v>
      </c>
      <c r="D122" s="3">
        <v>150</v>
      </c>
      <c r="E122" s="3">
        <v>1</v>
      </c>
      <c r="F122" s="3">
        <v>0.5</v>
      </c>
      <c r="G122" s="3">
        <v>0</v>
      </c>
      <c r="H122" s="3">
        <v>0</v>
      </c>
      <c r="I122" s="3">
        <v>200</v>
      </c>
      <c r="J122" s="3">
        <v>33</v>
      </c>
      <c r="K122" s="3">
        <v>1</v>
      </c>
      <c r="L122" s="3">
        <v>30</v>
      </c>
      <c r="M122" s="3">
        <v>4</v>
      </c>
      <c r="N122" s="3">
        <v>0.06</v>
      </c>
      <c r="O122" s="3">
        <v>0</v>
      </c>
      <c r="P122" s="3">
        <v>0.1</v>
      </c>
      <c r="Q122" s="3">
        <v>0.08</v>
      </c>
      <c r="R122" s="3">
        <v>95</v>
      </c>
    </row>
    <row r="123" spans="1:18" ht="40" x14ac:dyDescent="0.25">
      <c r="A123" s="5" t="s">
        <v>72</v>
      </c>
      <c r="B123" s="5" t="s">
        <v>74</v>
      </c>
      <c r="C123" s="3" t="s">
        <v>35</v>
      </c>
      <c r="D123" s="3">
        <v>150</v>
      </c>
      <c r="E123" s="3">
        <v>0.1</v>
      </c>
      <c r="F123" s="3">
        <v>0.1</v>
      </c>
      <c r="G123" s="3">
        <v>0</v>
      </c>
      <c r="H123" s="3">
        <v>0</v>
      </c>
      <c r="I123" s="3">
        <v>200</v>
      </c>
      <c r="J123" s="3">
        <v>33</v>
      </c>
      <c r="K123" s="3">
        <v>0</v>
      </c>
      <c r="L123" s="3">
        <v>32</v>
      </c>
      <c r="M123" s="3">
        <v>3</v>
      </c>
      <c r="N123" s="3">
        <v>0.06</v>
      </c>
      <c r="O123" s="3">
        <v>0</v>
      </c>
      <c r="P123" s="3">
        <v>0.1</v>
      </c>
      <c r="Q123" s="3">
        <v>0</v>
      </c>
      <c r="R123" s="3">
        <v>90</v>
      </c>
    </row>
    <row r="124" spans="1:18" ht="40" x14ac:dyDescent="0.25">
      <c r="A124" s="5" t="s">
        <v>72</v>
      </c>
      <c r="B124" s="5" t="s">
        <v>75</v>
      </c>
      <c r="C124" s="3" t="s">
        <v>34</v>
      </c>
      <c r="D124" s="3">
        <v>150</v>
      </c>
      <c r="E124" s="3">
        <v>3</v>
      </c>
      <c r="F124" s="3">
        <v>2</v>
      </c>
      <c r="G124" s="3">
        <v>0</v>
      </c>
      <c r="H124" s="3">
        <v>0</v>
      </c>
      <c r="I124" s="3">
        <v>170</v>
      </c>
      <c r="J124" s="3">
        <v>30</v>
      </c>
      <c r="K124" s="3">
        <v>1</v>
      </c>
      <c r="L124" s="3">
        <v>27</v>
      </c>
      <c r="M124" s="3">
        <v>4</v>
      </c>
      <c r="N124" s="3">
        <v>0.04</v>
      </c>
      <c r="O124" s="3">
        <v>0</v>
      </c>
      <c r="P124" s="3">
        <v>0.1</v>
      </c>
      <c r="Q124" s="3">
        <v>0.2</v>
      </c>
      <c r="R124" s="3">
        <v>70</v>
      </c>
    </row>
    <row r="125" spans="1:18" ht="40" x14ac:dyDescent="0.25">
      <c r="A125" s="5" t="s">
        <v>72</v>
      </c>
      <c r="B125" s="5" t="s">
        <v>23</v>
      </c>
      <c r="C125" s="3" t="s">
        <v>35</v>
      </c>
      <c r="D125" s="3">
        <v>120</v>
      </c>
      <c r="E125" s="3">
        <v>0.1</v>
      </c>
      <c r="F125" s="3">
        <v>0.1</v>
      </c>
      <c r="G125" s="3">
        <v>0</v>
      </c>
      <c r="H125" s="3">
        <v>0</v>
      </c>
      <c r="I125" s="3">
        <v>210</v>
      </c>
      <c r="J125" s="3">
        <v>26</v>
      </c>
      <c r="K125" s="3">
        <v>0</v>
      </c>
      <c r="L125" s="3">
        <v>26</v>
      </c>
      <c r="M125" s="3">
        <v>3</v>
      </c>
      <c r="N125" s="3">
        <v>0.06</v>
      </c>
      <c r="O125" s="3">
        <v>0</v>
      </c>
      <c r="P125" s="3">
        <v>0.1</v>
      </c>
      <c r="Q125" s="3">
        <v>0</v>
      </c>
      <c r="R125" s="3">
        <v>95</v>
      </c>
    </row>
    <row r="126" spans="1:18" ht="40" x14ac:dyDescent="0.25">
      <c r="A126" s="5" t="s">
        <v>72</v>
      </c>
      <c r="B126" s="5" t="s">
        <v>73</v>
      </c>
      <c r="C126" s="3" t="s">
        <v>34</v>
      </c>
      <c r="D126" s="3">
        <v>110</v>
      </c>
      <c r="E126" s="3">
        <v>0.5</v>
      </c>
      <c r="F126" s="3">
        <v>0.4</v>
      </c>
      <c r="G126" s="3">
        <v>0</v>
      </c>
      <c r="H126" s="3">
        <v>0</v>
      </c>
      <c r="I126" s="3">
        <v>150</v>
      </c>
      <c r="J126" s="3">
        <v>24</v>
      </c>
      <c r="K126" s="3">
        <v>1</v>
      </c>
      <c r="L126" s="3">
        <v>23</v>
      </c>
      <c r="M126" s="3">
        <v>3</v>
      </c>
      <c r="N126" s="3">
        <v>0.04</v>
      </c>
      <c r="O126" s="3">
        <v>0</v>
      </c>
      <c r="P126" s="3">
        <v>0.08</v>
      </c>
      <c r="Q126" s="3">
        <v>0.06</v>
      </c>
      <c r="R126" s="3">
        <v>70</v>
      </c>
    </row>
    <row r="127" spans="1:18" ht="40" x14ac:dyDescent="0.25">
      <c r="A127" s="5" t="s">
        <v>72</v>
      </c>
      <c r="B127" s="5" t="s">
        <v>74</v>
      </c>
      <c r="C127" s="3" t="s">
        <v>34</v>
      </c>
      <c r="D127" s="3">
        <v>100</v>
      </c>
      <c r="E127" s="3">
        <v>0.1</v>
      </c>
      <c r="F127" s="3">
        <v>0</v>
      </c>
      <c r="G127" s="3">
        <v>0</v>
      </c>
      <c r="H127" s="3">
        <v>0</v>
      </c>
      <c r="I127" s="3">
        <v>140</v>
      </c>
      <c r="J127" s="3">
        <v>23</v>
      </c>
      <c r="K127" s="3">
        <v>0</v>
      </c>
      <c r="L127" s="3">
        <v>23</v>
      </c>
      <c r="M127" s="3">
        <v>3</v>
      </c>
      <c r="N127" s="3">
        <v>0.04</v>
      </c>
      <c r="O127" s="3">
        <v>0</v>
      </c>
      <c r="P127" s="3">
        <v>0.08</v>
      </c>
      <c r="Q127" s="3">
        <v>0</v>
      </c>
      <c r="R127" s="3">
        <v>65</v>
      </c>
    </row>
    <row r="128" spans="1:18" ht="40" x14ac:dyDescent="0.25">
      <c r="A128" s="5" t="s">
        <v>72</v>
      </c>
      <c r="B128" s="5" t="s">
        <v>23</v>
      </c>
      <c r="C128" s="3" t="s">
        <v>34</v>
      </c>
      <c r="D128" s="3">
        <v>90</v>
      </c>
      <c r="E128" s="3">
        <v>0.1</v>
      </c>
      <c r="F128" s="3">
        <v>0</v>
      </c>
      <c r="G128" s="3">
        <v>0</v>
      </c>
      <c r="H128" s="3">
        <v>0</v>
      </c>
      <c r="I128" s="3">
        <v>160</v>
      </c>
      <c r="J128" s="3">
        <v>20</v>
      </c>
      <c r="K128" s="3">
        <v>0</v>
      </c>
      <c r="L128" s="3">
        <v>19</v>
      </c>
      <c r="M128" s="3">
        <v>3</v>
      </c>
      <c r="N128" s="3">
        <v>0.04</v>
      </c>
      <c r="O128" s="3">
        <v>0</v>
      </c>
      <c r="P128" s="3">
        <v>0.1</v>
      </c>
      <c r="Q128" s="3">
        <v>0</v>
      </c>
      <c r="R128" s="3">
        <v>70</v>
      </c>
    </row>
    <row r="129" spans="1:18" ht="40" x14ac:dyDescent="0.25">
      <c r="A129" s="5" t="s">
        <v>58</v>
      </c>
      <c r="B129" s="5" t="s">
        <v>62</v>
      </c>
      <c r="C129" s="3" t="s">
        <v>28</v>
      </c>
      <c r="D129" s="3">
        <v>190</v>
      </c>
      <c r="E129" s="3">
        <v>0</v>
      </c>
      <c r="F129" s="3">
        <v>0</v>
      </c>
      <c r="G129" s="3">
        <v>0</v>
      </c>
      <c r="H129" s="3">
        <v>0</v>
      </c>
      <c r="I129" s="3">
        <v>0</v>
      </c>
      <c r="J129" s="3">
        <v>49</v>
      </c>
      <c r="K129" s="3">
        <v>0</v>
      </c>
      <c r="L129" s="3">
        <v>49</v>
      </c>
      <c r="M129" s="3">
        <v>0.1</v>
      </c>
      <c r="N129" s="3">
        <v>0</v>
      </c>
      <c r="O129" s="3">
        <v>0.2</v>
      </c>
      <c r="P129" s="3">
        <v>0</v>
      </c>
      <c r="Q129" s="3">
        <v>0</v>
      </c>
      <c r="R129" s="3" t="s">
        <v>52</v>
      </c>
    </row>
    <row r="130" spans="1:18" ht="40" x14ac:dyDescent="0.25">
      <c r="A130" s="5" t="s">
        <v>58</v>
      </c>
      <c r="B130" s="5" t="s">
        <v>60</v>
      </c>
      <c r="C130" s="3" t="s">
        <v>32</v>
      </c>
      <c r="D130" s="3">
        <v>180</v>
      </c>
      <c r="E130" s="3">
        <v>2</v>
      </c>
      <c r="F130" s="3">
        <v>1</v>
      </c>
      <c r="G130" s="3">
        <v>0.1</v>
      </c>
      <c r="H130" s="3">
        <v>10</v>
      </c>
      <c r="I130" s="3">
        <v>55</v>
      </c>
      <c r="J130" s="3">
        <v>36</v>
      </c>
      <c r="K130" s="3">
        <v>0</v>
      </c>
      <c r="L130" s="3">
        <v>36</v>
      </c>
      <c r="M130" s="3">
        <v>4</v>
      </c>
      <c r="N130" s="3">
        <v>0.06</v>
      </c>
      <c r="O130" s="3">
        <v>0</v>
      </c>
      <c r="P130" s="3">
        <v>0.1</v>
      </c>
      <c r="Q130" s="3">
        <v>0</v>
      </c>
      <c r="R130" s="3">
        <v>170</v>
      </c>
    </row>
    <row r="131" spans="1:18" ht="40" x14ac:dyDescent="0.25">
      <c r="A131" s="5" t="s">
        <v>58</v>
      </c>
      <c r="B131" s="5" t="s">
        <v>60</v>
      </c>
      <c r="C131" s="3" t="s">
        <v>33</v>
      </c>
      <c r="D131" s="3">
        <v>170</v>
      </c>
      <c r="E131" s="3">
        <v>1.5</v>
      </c>
      <c r="F131" s="3">
        <v>0.2</v>
      </c>
      <c r="G131" s="3">
        <v>0</v>
      </c>
      <c r="H131" s="3">
        <v>0</v>
      </c>
      <c r="I131" s="3">
        <v>45</v>
      </c>
      <c r="J131" s="3">
        <v>34</v>
      </c>
      <c r="K131" s="3">
        <v>0</v>
      </c>
      <c r="L131" s="3">
        <v>33</v>
      </c>
      <c r="M131" s="3">
        <v>3</v>
      </c>
      <c r="N131" s="3">
        <v>0.04</v>
      </c>
      <c r="O131" s="3">
        <v>0</v>
      </c>
      <c r="P131" s="3">
        <v>0.1</v>
      </c>
      <c r="Q131" s="3">
        <v>0</v>
      </c>
      <c r="R131" s="3">
        <v>170</v>
      </c>
    </row>
    <row r="132" spans="1:18" ht="40" x14ac:dyDescent="0.25">
      <c r="A132" s="5" t="s">
        <v>58</v>
      </c>
      <c r="B132" s="5" t="s">
        <v>60</v>
      </c>
      <c r="C132" s="3" t="s">
        <v>36</v>
      </c>
      <c r="D132" s="3">
        <v>160</v>
      </c>
      <c r="E132" s="3">
        <v>0.1</v>
      </c>
      <c r="F132" s="3">
        <v>0.1</v>
      </c>
      <c r="G132" s="3">
        <v>0</v>
      </c>
      <c r="H132" s="3">
        <v>0</v>
      </c>
      <c r="I132" s="3">
        <v>50</v>
      </c>
      <c r="J132" s="3">
        <v>36</v>
      </c>
      <c r="K132" s="3">
        <v>0</v>
      </c>
      <c r="L132" s="3">
        <v>36</v>
      </c>
      <c r="M132" s="3">
        <v>4</v>
      </c>
      <c r="N132" s="3">
        <v>0.06</v>
      </c>
      <c r="O132" s="3">
        <v>0</v>
      </c>
      <c r="P132" s="3">
        <v>0.1</v>
      </c>
      <c r="Q132" s="3">
        <v>0.04</v>
      </c>
      <c r="R132" s="3">
        <v>125</v>
      </c>
    </row>
    <row r="133" spans="1:18" ht="40" x14ac:dyDescent="0.25">
      <c r="A133" s="5" t="s">
        <v>58</v>
      </c>
      <c r="B133" s="5" t="s">
        <v>59</v>
      </c>
      <c r="C133" s="3" t="s">
        <v>28</v>
      </c>
      <c r="D133" s="3">
        <v>130</v>
      </c>
      <c r="E133" s="3">
        <v>0.1</v>
      </c>
      <c r="F133" s="3">
        <v>0</v>
      </c>
      <c r="G133" s="3">
        <v>0</v>
      </c>
      <c r="H133" s="3">
        <v>0</v>
      </c>
      <c r="I133" s="3">
        <v>5</v>
      </c>
      <c r="J133" s="3">
        <v>31</v>
      </c>
      <c r="K133" s="3">
        <v>0</v>
      </c>
      <c r="L133" s="3">
        <v>31</v>
      </c>
      <c r="M133" s="3">
        <v>0.4</v>
      </c>
      <c r="N133" s="3">
        <v>0</v>
      </c>
      <c r="O133" s="3">
        <v>0</v>
      </c>
      <c r="P133" s="3">
        <v>0</v>
      </c>
      <c r="Q133" s="3">
        <v>0</v>
      </c>
      <c r="R133" s="3">
        <v>235</v>
      </c>
    </row>
    <row r="134" spans="1:18" ht="40" x14ac:dyDescent="0.25">
      <c r="A134" s="5" t="s">
        <v>58</v>
      </c>
      <c r="B134" s="5" t="s">
        <v>62</v>
      </c>
      <c r="C134" s="3" t="s">
        <v>27</v>
      </c>
      <c r="D134" s="3">
        <v>130</v>
      </c>
      <c r="E134" s="3">
        <v>0</v>
      </c>
      <c r="F134" s="3">
        <v>0</v>
      </c>
      <c r="G134" s="3">
        <v>0</v>
      </c>
      <c r="H134" s="3">
        <v>0</v>
      </c>
      <c r="I134" s="3">
        <v>0</v>
      </c>
      <c r="J134" s="3">
        <v>33</v>
      </c>
      <c r="K134" s="3">
        <v>0</v>
      </c>
      <c r="L134" s="3">
        <v>33</v>
      </c>
      <c r="M134" s="3">
        <v>0.1</v>
      </c>
      <c r="N134" s="3">
        <v>0</v>
      </c>
      <c r="O134" s="3">
        <v>0.15</v>
      </c>
      <c r="P134" s="3">
        <v>0</v>
      </c>
      <c r="Q134" s="3">
        <v>0</v>
      </c>
      <c r="R134" s="3" t="s">
        <v>52</v>
      </c>
    </row>
    <row r="135" spans="1:18" ht="40" x14ac:dyDescent="0.25">
      <c r="A135" s="9" t="s">
        <v>58</v>
      </c>
      <c r="B135" s="5" t="s">
        <v>60</v>
      </c>
      <c r="C135" s="3" t="s">
        <v>32</v>
      </c>
      <c r="D135" s="3">
        <v>120</v>
      </c>
      <c r="E135" s="3">
        <v>1.5</v>
      </c>
      <c r="F135" s="3">
        <v>0.5</v>
      </c>
      <c r="G135" s="3">
        <v>0</v>
      </c>
      <c r="H135" s="3">
        <v>5</v>
      </c>
      <c r="I135" s="3">
        <v>35</v>
      </c>
      <c r="J135" s="3">
        <v>24</v>
      </c>
      <c r="K135" s="3">
        <v>0</v>
      </c>
      <c r="L135" s="3">
        <v>24</v>
      </c>
      <c r="M135" s="3">
        <v>2</v>
      </c>
      <c r="N135" s="3">
        <v>0.04</v>
      </c>
      <c r="O135" s="3">
        <v>0</v>
      </c>
      <c r="P135" s="3">
        <v>0.08</v>
      </c>
      <c r="Q135" s="3">
        <v>0</v>
      </c>
      <c r="R135" s="3">
        <v>125</v>
      </c>
    </row>
    <row r="136" spans="1:18" ht="40" x14ac:dyDescent="0.25">
      <c r="A136" s="5" t="s">
        <v>58</v>
      </c>
      <c r="B136" s="5" t="s">
        <v>61</v>
      </c>
      <c r="C136" s="3" t="s">
        <v>28</v>
      </c>
      <c r="D136" s="3">
        <v>120</v>
      </c>
      <c r="E136" s="3">
        <v>0</v>
      </c>
      <c r="F136" s="3">
        <v>0</v>
      </c>
      <c r="G136" s="3">
        <v>0</v>
      </c>
      <c r="H136" s="3">
        <v>0</v>
      </c>
      <c r="I136" s="3">
        <v>0</v>
      </c>
      <c r="J136" s="3">
        <v>31</v>
      </c>
      <c r="K136" s="3">
        <v>0</v>
      </c>
      <c r="L136" s="3">
        <v>31</v>
      </c>
      <c r="M136" s="3">
        <v>0</v>
      </c>
      <c r="N136" s="3">
        <v>0</v>
      </c>
      <c r="O136" s="3">
        <v>0</v>
      </c>
      <c r="P136" s="3">
        <v>0</v>
      </c>
      <c r="Q136" s="3">
        <v>0</v>
      </c>
      <c r="R136" s="3" t="s">
        <v>52</v>
      </c>
    </row>
    <row r="137" spans="1:18" ht="40" x14ac:dyDescent="0.25">
      <c r="A137" s="5" t="s">
        <v>58</v>
      </c>
      <c r="B137" s="5" t="s">
        <v>60</v>
      </c>
      <c r="C137" s="3" t="s">
        <v>35</v>
      </c>
      <c r="D137" s="3">
        <v>110</v>
      </c>
      <c r="E137" s="3">
        <v>0.1</v>
      </c>
      <c r="F137" s="3">
        <v>0</v>
      </c>
      <c r="G137" s="3">
        <v>0</v>
      </c>
      <c r="H137" s="3">
        <v>0</v>
      </c>
      <c r="I137" s="3">
        <v>30</v>
      </c>
      <c r="J137" s="3">
        <v>24</v>
      </c>
      <c r="K137" s="3">
        <v>0</v>
      </c>
      <c r="L137" s="3">
        <v>24</v>
      </c>
      <c r="M137" s="3">
        <v>2</v>
      </c>
      <c r="N137" s="3">
        <v>0.04</v>
      </c>
      <c r="O137" s="3">
        <v>0</v>
      </c>
      <c r="P137" s="3">
        <v>0.08</v>
      </c>
      <c r="Q137" s="3">
        <v>0.02</v>
      </c>
      <c r="R137" s="3">
        <v>90</v>
      </c>
    </row>
    <row r="138" spans="1:18" ht="40" x14ac:dyDescent="0.25">
      <c r="A138" s="5" t="s">
        <v>58</v>
      </c>
      <c r="B138" s="5" t="s">
        <v>60</v>
      </c>
      <c r="C138" s="3" t="s">
        <v>33</v>
      </c>
      <c r="D138" s="3">
        <v>110</v>
      </c>
      <c r="E138" s="3">
        <v>1</v>
      </c>
      <c r="F138" s="3">
        <v>0.1</v>
      </c>
      <c r="G138" s="3">
        <v>0</v>
      </c>
      <c r="H138" s="3">
        <v>0</v>
      </c>
      <c r="I138" s="3">
        <v>30</v>
      </c>
      <c r="J138" s="3">
        <v>23</v>
      </c>
      <c r="K138" s="3">
        <v>0</v>
      </c>
      <c r="L138" s="3">
        <v>22</v>
      </c>
      <c r="M138" s="3">
        <v>2</v>
      </c>
      <c r="N138" s="3">
        <v>0.02</v>
      </c>
      <c r="O138" s="3">
        <v>0</v>
      </c>
      <c r="P138" s="3">
        <v>0.08</v>
      </c>
      <c r="Q138" s="3">
        <v>0</v>
      </c>
      <c r="R138" s="3">
        <v>125</v>
      </c>
    </row>
    <row r="139" spans="1:18" ht="40" x14ac:dyDescent="0.25">
      <c r="A139" s="5" t="s">
        <v>58</v>
      </c>
      <c r="B139" s="5" t="s">
        <v>62</v>
      </c>
      <c r="C139" s="3" t="s">
        <v>26</v>
      </c>
      <c r="D139" s="3">
        <v>100</v>
      </c>
      <c r="E139" s="3">
        <v>0</v>
      </c>
      <c r="F139" s="3">
        <v>0</v>
      </c>
      <c r="G139" s="3">
        <v>0</v>
      </c>
      <c r="H139" s="3">
        <v>0</v>
      </c>
      <c r="I139" s="3">
        <v>0</v>
      </c>
      <c r="J139" s="3">
        <v>25</v>
      </c>
      <c r="K139" s="3">
        <v>0</v>
      </c>
      <c r="L139" s="3">
        <v>24</v>
      </c>
      <c r="M139" s="3">
        <v>0.1</v>
      </c>
      <c r="N139" s="3">
        <v>0</v>
      </c>
      <c r="O139" s="3">
        <v>0.1</v>
      </c>
      <c r="P139" s="3">
        <v>0</v>
      </c>
      <c r="Q139" s="3">
        <v>0</v>
      </c>
      <c r="R139" s="3" t="s">
        <v>52</v>
      </c>
    </row>
    <row r="140" spans="1:18" ht="40" x14ac:dyDescent="0.25">
      <c r="A140" s="5" t="s">
        <v>58</v>
      </c>
      <c r="B140" s="5" t="s">
        <v>59</v>
      </c>
      <c r="C140" s="3" t="s">
        <v>27</v>
      </c>
      <c r="D140" s="3">
        <v>90</v>
      </c>
      <c r="E140" s="3">
        <v>0.1</v>
      </c>
      <c r="F140" s="3">
        <v>0</v>
      </c>
      <c r="G140" s="3">
        <v>0</v>
      </c>
      <c r="H140" s="3">
        <v>0</v>
      </c>
      <c r="I140" s="3">
        <v>5</v>
      </c>
      <c r="J140" s="3">
        <v>21</v>
      </c>
      <c r="K140" s="3">
        <v>0</v>
      </c>
      <c r="L140" s="3">
        <v>21</v>
      </c>
      <c r="M140" s="3">
        <v>0.3</v>
      </c>
      <c r="N140" s="3">
        <v>0</v>
      </c>
      <c r="O140" s="3">
        <v>0</v>
      </c>
      <c r="P140" s="3">
        <v>0</v>
      </c>
      <c r="Q140" s="3">
        <v>0</v>
      </c>
      <c r="R140" s="3">
        <v>165</v>
      </c>
    </row>
    <row r="141" spans="1:18" ht="40" x14ac:dyDescent="0.25">
      <c r="A141" s="5" t="s">
        <v>58</v>
      </c>
      <c r="B141" s="5" t="s">
        <v>60</v>
      </c>
      <c r="C141" s="3" t="s">
        <v>32</v>
      </c>
      <c r="D141" s="3">
        <v>90</v>
      </c>
      <c r="E141" s="3">
        <v>1</v>
      </c>
      <c r="F141" s="3">
        <v>0.5</v>
      </c>
      <c r="G141" s="3">
        <v>0</v>
      </c>
      <c r="H141" s="3">
        <v>5</v>
      </c>
      <c r="I141" s="3">
        <v>25</v>
      </c>
      <c r="J141" s="3">
        <v>18</v>
      </c>
      <c r="K141" s="3">
        <v>0</v>
      </c>
      <c r="L141" s="3">
        <v>18</v>
      </c>
      <c r="M141" s="3">
        <v>2</v>
      </c>
      <c r="N141" s="3">
        <v>0.02</v>
      </c>
      <c r="O141" s="3">
        <v>0</v>
      </c>
      <c r="P141" s="3">
        <v>0.06</v>
      </c>
      <c r="Q141" s="3">
        <v>0</v>
      </c>
      <c r="R141" s="3">
        <v>75</v>
      </c>
    </row>
    <row r="142" spans="1:18" ht="40" x14ac:dyDescent="0.25">
      <c r="A142" s="5" t="s">
        <v>58</v>
      </c>
      <c r="B142" s="5" t="s">
        <v>60</v>
      </c>
      <c r="C142" s="3" t="s">
        <v>34</v>
      </c>
      <c r="D142" s="3">
        <v>80</v>
      </c>
      <c r="E142" s="3">
        <v>0.1</v>
      </c>
      <c r="F142" s="3">
        <v>0</v>
      </c>
      <c r="G142" s="3">
        <v>0</v>
      </c>
      <c r="H142" s="3">
        <v>0</v>
      </c>
      <c r="I142" s="3">
        <v>25</v>
      </c>
      <c r="J142" s="3">
        <v>18</v>
      </c>
      <c r="K142" s="3">
        <v>0</v>
      </c>
      <c r="L142" s="3">
        <v>18</v>
      </c>
      <c r="M142" s="3">
        <v>2</v>
      </c>
      <c r="N142" s="3">
        <v>0.02</v>
      </c>
      <c r="O142" s="3">
        <v>0</v>
      </c>
      <c r="P142" s="3">
        <v>0.06</v>
      </c>
      <c r="Q142" s="3">
        <v>0</v>
      </c>
      <c r="R142" s="3">
        <v>90</v>
      </c>
    </row>
    <row r="143" spans="1:18" ht="40" x14ac:dyDescent="0.25">
      <c r="A143" s="5" t="s">
        <v>58</v>
      </c>
      <c r="B143" s="5" t="s">
        <v>60</v>
      </c>
      <c r="C143" s="3" t="s">
        <v>33</v>
      </c>
      <c r="D143" s="3">
        <v>80</v>
      </c>
      <c r="E143" s="3">
        <v>1</v>
      </c>
      <c r="F143" s="3">
        <v>0.1</v>
      </c>
      <c r="G143" s="3">
        <v>0</v>
      </c>
      <c r="H143" s="3">
        <v>0</v>
      </c>
      <c r="I143" s="3">
        <v>20</v>
      </c>
      <c r="J143" s="3">
        <v>17</v>
      </c>
      <c r="K143" s="3">
        <v>0</v>
      </c>
      <c r="L143" s="3">
        <v>17</v>
      </c>
      <c r="M143" s="3">
        <v>2</v>
      </c>
      <c r="N143" s="3">
        <v>0.02</v>
      </c>
      <c r="O143" s="3">
        <v>0</v>
      </c>
      <c r="P143" s="3">
        <v>0.06</v>
      </c>
      <c r="Q143" s="3">
        <v>0</v>
      </c>
      <c r="R143" s="3">
        <v>90</v>
      </c>
    </row>
    <row r="144" spans="1:18" ht="40" x14ac:dyDescent="0.25">
      <c r="A144" s="5" t="s">
        <v>58</v>
      </c>
      <c r="B144" s="5" t="s">
        <v>61</v>
      </c>
      <c r="C144" s="3" t="s">
        <v>27</v>
      </c>
      <c r="D144" s="3">
        <v>80</v>
      </c>
      <c r="E144" s="3">
        <v>0</v>
      </c>
      <c r="F144" s="3">
        <v>0</v>
      </c>
      <c r="G144" s="3">
        <v>0</v>
      </c>
      <c r="H144" s="3">
        <v>0</v>
      </c>
      <c r="I144" s="3">
        <v>0</v>
      </c>
      <c r="J144" s="3">
        <v>21</v>
      </c>
      <c r="K144" s="3">
        <v>0</v>
      </c>
      <c r="L144" s="3">
        <v>21</v>
      </c>
      <c r="M144" s="3">
        <v>0</v>
      </c>
      <c r="N144" s="3">
        <v>0</v>
      </c>
      <c r="O144" s="3">
        <v>0</v>
      </c>
      <c r="P144" s="3">
        <v>0</v>
      </c>
      <c r="Q144" s="3">
        <v>0</v>
      </c>
      <c r="R144" s="3" t="s">
        <v>52</v>
      </c>
    </row>
    <row r="145" spans="1:18" ht="40" x14ac:dyDescent="0.25">
      <c r="A145" s="5" t="s">
        <v>58</v>
      </c>
      <c r="B145" s="5" t="s">
        <v>59</v>
      </c>
      <c r="C145" s="3" t="s">
        <v>26</v>
      </c>
      <c r="D145" s="3">
        <v>60</v>
      </c>
      <c r="E145" s="3">
        <v>0</v>
      </c>
      <c r="F145" s="3">
        <v>0</v>
      </c>
      <c r="G145" s="3">
        <v>0</v>
      </c>
      <c r="H145" s="3">
        <v>0</v>
      </c>
      <c r="I145" s="3">
        <v>4</v>
      </c>
      <c r="J145" s="3">
        <v>15</v>
      </c>
      <c r="K145" s="3">
        <v>0</v>
      </c>
      <c r="L145" s="3">
        <v>15</v>
      </c>
      <c r="M145" s="3">
        <v>0.2</v>
      </c>
      <c r="N145" s="3">
        <v>0</v>
      </c>
      <c r="O145" s="3">
        <v>0</v>
      </c>
      <c r="P145" s="3">
        <v>0</v>
      </c>
      <c r="Q145" s="3">
        <v>0</v>
      </c>
      <c r="R145" s="3">
        <v>120</v>
      </c>
    </row>
    <row r="146" spans="1:18" ht="40" x14ac:dyDescent="0.25">
      <c r="A146" s="5" t="s">
        <v>58</v>
      </c>
      <c r="B146" s="5" t="s">
        <v>61</v>
      </c>
      <c r="C146" s="3" t="s">
        <v>26</v>
      </c>
      <c r="D146" s="3">
        <v>60</v>
      </c>
      <c r="E146" s="3">
        <v>0</v>
      </c>
      <c r="F146" s="3">
        <v>0</v>
      </c>
      <c r="G146" s="3">
        <v>0</v>
      </c>
      <c r="H146" s="3">
        <v>0</v>
      </c>
      <c r="I146" s="3">
        <v>0</v>
      </c>
      <c r="J146" s="3">
        <v>15</v>
      </c>
      <c r="K146" s="3">
        <v>0</v>
      </c>
      <c r="L146" s="3">
        <v>15</v>
      </c>
      <c r="M146" s="3">
        <v>0</v>
      </c>
      <c r="N146" s="3">
        <v>0</v>
      </c>
      <c r="O146" s="3">
        <v>0</v>
      </c>
      <c r="P146" s="3">
        <v>0</v>
      </c>
      <c r="Q146" s="3">
        <v>0.06</v>
      </c>
      <c r="R146" s="3">
        <v>170</v>
      </c>
    </row>
    <row r="147" spans="1:18" ht="40" x14ac:dyDescent="0.25">
      <c r="A147" s="5" t="s">
        <v>45</v>
      </c>
      <c r="B147" s="5" t="s">
        <v>47</v>
      </c>
      <c r="C147" s="3" t="s">
        <v>32</v>
      </c>
      <c r="D147" s="3">
        <v>510</v>
      </c>
      <c r="E147" s="3">
        <v>15</v>
      </c>
      <c r="F147" s="3">
        <v>9</v>
      </c>
      <c r="G147" s="3">
        <v>0.2</v>
      </c>
      <c r="H147" s="3">
        <v>35</v>
      </c>
      <c r="I147" s="3">
        <v>330</v>
      </c>
      <c r="J147" s="3">
        <v>77</v>
      </c>
      <c r="K147" s="3">
        <v>0</v>
      </c>
      <c r="L147" s="3">
        <v>74</v>
      </c>
      <c r="M147" s="3">
        <v>19</v>
      </c>
      <c r="N147" s="3">
        <v>0.2</v>
      </c>
      <c r="O147" s="3">
        <v>0.04</v>
      </c>
      <c r="P147" s="3">
        <v>0.6</v>
      </c>
      <c r="Q147" s="3">
        <v>0.02</v>
      </c>
      <c r="R147" s="3">
        <v>150</v>
      </c>
    </row>
    <row r="148" spans="1:18" ht="40" x14ac:dyDescent="0.25">
      <c r="A148" s="5" t="s">
        <v>45</v>
      </c>
      <c r="B148" s="5" t="s">
        <v>47</v>
      </c>
      <c r="C148" s="3" t="s">
        <v>33</v>
      </c>
      <c r="D148" s="3">
        <v>460</v>
      </c>
      <c r="E148" s="3">
        <v>13</v>
      </c>
      <c r="F148" s="3">
        <v>6</v>
      </c>
      <c r="G148" s="3">
        <v>0</v>
      </c>
      <c r="H148" s="3">
        <v>5</v>
      </c>
      <c r="I148" s="3">
        <v>290</v>
      </c>
      <c r="J148" s="3">
        <v>70</v>
      </c>
      <c r="K148" s="3">
        <v>1</v>
      </c>
      <c r="L148" s="3">
        <v>64</v>
      </c>
      <c r="M148" s="3">
        <v>16</v>
      </c>
      <c r="N148" s="3">
        <v>0.15</v>
      </c>
      <c r="O148" s="3">
        <v>0.02</v>
      </c>
      <c r="P148" s="3">
        <v>0.6</v>
      </c>
      <c r="Q148" s="3">
        <v>0.2</v>
      </c>
      <c r="R148" s="3">
        <v>150</v>
      </c>
    </row>
    <row r="149" spans="1:18" ht="40" x14ac:dyDescent="0.25">
      <c r="A149" s="5" t="s">
        <v>45</v>
      </c>
      <c r="B149" s="5" t="s">
        <v>47</v>
      </c>
      <c r="C149" s="3" t="s">
        <v>36</v>
      </c>
      <c r="D149" s="3">
        <v>450</v>
      </c>
      <c r="E149" s="3">
        <v>7</v>
      </c>
      <c r="F149" s="3">
        <v>6</v>
      </c>
      <c r="G149" s="3">
        <v>0</v>
      </c>
      <c r="H149" s="3">
        <v>10</v>
      </c>
      <c r="I149" s="3">
        <v>310</v>
      </c>
      <c r="J149" s="3">
        <v>78</v>
      </c>
      <c r="K149" s="3">
        <v>0</v>
      </c>
      <c r="L149" s="3">
        <v>74</v>
      </c>
      <c r="M149" s="3">
        <v>19</v>
      </c>
      <c r="N149" s="3">
        <v>0.25</v>
      </c>
      <c r="O149" s="3">
        <v>0.02</v>
      </c>
      <c r="P149" s="3">
        <v>0.6</v>
      </c>
      <c r="Q149" s="3">
        <v>0.02</v>
      </c>
      <c r="R149" s="3">
        <v>150</v>
      </c>
    </row>
    <row r="150" spans="1:18" ht="40" x14ac:dyDescent="0.25">
      <c r="A150" s="5" t="s">
        <v>45</v>
      </c>
      <c r="B150" s="5" t="s">
        <v>47</v>
      </c>
      <c r="C150" s="3" t="s">
        <v>32</v>
      </c>
      <c r="D150" s="3">
        <v>400</v>
      </c>
      <c r="E150" s="3">
        <v>11</v>
      </c>
      <c r="F150" s="3">
        <v>7</v>
      </c>
      <c r="G150" s="3">
        <v>0.2</v>
      </c>
      <c r="H150" s="3">
        <v>25</v>
      </c>
      <c r="I150" s="3">
        <v>250</v>
      </c>
      <c r="J150" s="3">
        <v>61</v>
      </c>
      <c r="K150" s="3">
        <v>0</v>
      </c>
      <c r="L150" s="3">
        <v>58</v>
      </c>
      <c r="M150" s="3">
        <v>15</v>
      </c>
      <c r="N150" s="3">
        <v>0.15</v>
      </c>
      <c r="O150" s="3">
        <v>0.02</v>
      </c>
      <c r="P150" s="3">
        <v>0.45</v>
      </c>
      <c r="Q150" s="3">
        <v>0</v>
      </c>
      <c r="R150" s="3">
        <v>150</v>
      </c>
    </row>
    <row r="151" spans="1:18" ht="40" x14ac:dyDescent="0.25">
      <c r="A151" s="5" t="s">
        <v>45</v>
      </c>
      <c r="B151" s="5" t="s">
        <v>48</v>
      </c>
      <c r="C151" s="3" t="s">
        <v>32</v>
      </c>
      <c r="D151" s="3">
        <v>380</v>
      </c>
      <c r="E151" s="3">
        <v>11</v>
      </c>
      <c r="F151" s="3">
        <v>6</v>
      </c>
      <c r="G151" s="3">
        <v>0.3</v>
      </c>
      <c r="H151" s="3">
        <v>35</v>
      </c>
      <c r="I151" s="3">
        <v>200</v>
      </c>
      <c r="J151" s="3">
        <v>63</v>
      </c>
      <c r="K151" s="3">
        <v>2</v>
      </c>
      <c r="L151" s="3">
        <v>54</v>
      </c>
      <c r="M151" s="3">
        <v>17</v>
      </c>
      <c r="N151" s="3">
        <v>0.25</v>
      </c>
      <c r="O151" s="3">
        <v>0.02</v>
      </c>
      <c r="P151" s="3">
        <v>0.5</v>
      </c>
      <c r="Q151" s="3">
        <v>0.3</v>
      </c>
      <c r="R151" s="3">
        <v>30</v>
      </c>
    </row>
    <row r="152" spans="1:18" ht="40" x14ac:dyDescent="0.25">
      <c r="A152" s="5" t="s">
        <v>45</v>
      </c>
      <c r="B152" s="5" t="s">
        <v>47</v>
      </c>
      <c r="C152" s="3" t="s">
        <v>33</v>
      </c>
      <c r="D152" s="3">
        <v>370</v>
      </c>
      <c r="E152" s="3">
        <v>10</v>
      </c>
      <c r="F152" s="3">
        <v>5</v>
      </c>
      <c r="G152" s="3">
        <v>0</v>
      </c>
      <c r="H152" s="3">
        <v>0</v>
      </c>
      <c r="I152" s="3">
        <v>220</v>
      </c>
      <c r="J152" s="3">
        <v>56</v>
      </c>
      <c r="K152" s="3">
        <v>1</v>
      </c>
      <c r="L152" s="3">
        <v>51</v>
      </c>
      <c r="M152" s="3">
        <v>13</v>
      </c>
      <c r="N152" s="3">
        <v>0.1</v>
      </c>
      <c r="O152" s="3">
        <v>0.02</v>
      </c>
      <c r="P152" s="3">
        <v>0.45</v>
      </c>
      <c r="Q152" s="3">
        <v>0.15</v>
      </c>
      <c r="R152" s="3">
        <v>150</v>
      </c>
    </row>
    <row r="153" spans="1:18" ht="40" x14ac:dyDescent="0.25">
      <c r="A153" s="5" t="s">
        <v>45</v>
      </c>
      <c r="B153" s="5" t="s">
        <v>49</v>
      </c>
      <c r="C153" s="3" t="s">
        <v>28</v>
      </c>
      <c r="D153" s="3">
        <v>360</v>
      </c>
      <c r="E153" s="3">
        <v>0</v>
      </c>
      <c r="F153" s="3">
        <v>0</v>
      </c>
      <c r="G153" s="3">
        <v>0</v>
      </c>
      <c r="H153" s="3">
        <v>0</v>
      </c>
      <c r="I153" s="3">
        <v>25</v>
      </c>
      <c r="J153" s="3">
        <v>89</v>
      </c>
      <c r="K153" s="3">
        <v>0</v>
      </c>
      <c r="L153" s="3">
        <v>83</v>
      </c>
      <c r="M153" s="3">
        <v>0</v>
      </c>
      <c r="N153" s="3">
        <v>0</v>
      </c>
      <c r="O153" s="3">
        <v>0</v>
      </c>
      <c r="P153" s="3">
        <v>0</v>
      </c>
      <c r="Q153" s="3">
        <v>0</v>
      </c>
      <c r="R153" s="3">
        <v>0</v>
      </c>
    </row>
    <row r="154" spans="1:18" ht="40" x14ac:dyDescent="0.25">
      <c r="A154" s="5" t="s">
        <v>45</v>
      </c>
      <c r="B154" s="5" t="s">
        <v>47</v>
      </c>
      <c r="C154" s="3" t="s">
        <v>35</v>
      </c>
      <c r="D154" s="3">
        <v>350</v>
      </c>
      <c r="E154" s="3">
        <v>6</v>
      </c>
      <c r="F154" s="3">
        <v>4.5</v>
      </c>
      <c r="G154" s="3">
        <v>0</v>
      </c>
      <c r="H154" s="3">
        <v>10</v>
      </c>
      <c r="I154" s="3">
        <v>240</v>
      </c>
      <c r="J154" s="3">
        <v>61</v>
      </c>
      <c r="K154" s="3">
        <v>0</v>
      </c>
      <c r="L154" s="3">
        <v>58</v>
      </c>
      <c r="M154" s="3">
        <v>15</v>
      </c>
      <c r="N154" s="3">
        <v>0.2</v>
      </c>
      <c r="O154" s="3">
        <v>0.02</v>
      </c>
      <c r="P154" s="3">
        <v>0.45</v>
      </c>
      <c r="Q154" s="3">
        <v>0.02</v>
      </c>
      <c r="R154" s="3">
        <v>150</v>
      </c>
    </row>
    <row r="155" spans="1:18" ht="40" x14ac:dyDescent="0.25">
      <c r="A155" s="5" t="s">
        <v>45</v>
      </c>
      <c r="B155" s="5" t="s">
        <v>48</v>
      </c>
      <c r="C155" s="3" t="s">
        <v>33</v>
      </c>
      <c r="D155" s="3">
        <v>330</v>
      </c>
      <c r="E155" s="3">
        <v>9</v>
      </c>
      <c r="F155" s="3">
        <v>2.5</v>
      </c>
      <c r="G155" s="3">
        <v>0</v>
      </c>
      <c r="H155" s="3">
        <v>0</v>
      </c>
      <c r="I155" s="3">
        <v>160</v>
      </c>
      <c r="J155" s="3">
        <v>55</v>
      </c>
      <c r="K155" s="3">
        <v>4</v>
      </c>
      <c r="L155" s="3">
        <v>44</v>
      </c>
      <c r="M155" s="3">
        <v>15</v>
      </c>
      <c r="N155" s="3">
        <v>0.15</v>
      </c>
      <c r="O155" s="3">
        <v>0</v>
      </c>
      <c r="P155" s="3">
        <v>0.5</v>
      </c>
      <c r="Q155" s="3">
        <v>0.5</v>
      </c>
      <c r="R155" s="3">
        <v>30</v>
      </c>
    </row>
    <row r="156" spans="1:18" ht="40" x14ac:dyDescent="0.25">
      <c r="A156" s="5" t="s">
        <v>45</v>
      </c>
      <c r="B156" s="5" t="s">
        <v>48</v>
      </c>
      <c r="C156" s="3" t="s">
        <v>36</v>
      </c>
      <c r="D156" s="3">
        <v>320</v>
      </c>
      <c r="E156" s="3">
        <v>3</v>
      </c>
      <c r="F156" s="3">
        <v>2</v>
      </c>
      <c r="G156" s="3">
        <v>0</v>
      </c>
      <c r="H156" s="3">
        <v>10</v>
      </c>
      <c r="I156" s="3">
        <v>180</v>
      </c>
      <c r="J156" s="3">
        <v>63</v>
      </c>
      <c r="K156" s="3">
        <v>2</v>
      </c>
      <c r="L156" s="3">
        <v>55</v>
      </c>
      <c r="M156" s="3">
        <v>18</v>
      </c>
      <c r="N156" s="3">
        <v>0.25</v>
      </c>
      <c r="O156" s="3">
        <v>0</v>
      </c>
      <c r="P156" s="3">
        <v>0.5</v>
      </c>
      <c r="Q156" s="3">
        <v>0.3</v>
      </c>
      <c r="R156" s="3">
        <v>30</v>
      </c>
    </row>
    <row r="157" spans="1:18" ht="40" x14ac:dyDescent="0.25">
      <c r="A157" s="5" t="s">
        <v>45</v>
      </c>
      <c r="B157" s="5" t="s">
        <v>47</v>
      </c>
      <c r="C157" s="3" t="s">
        <v>32</v>
      </c>
      <c r="D157" s="3">
        <v>310</v>
      </c>
      <c r="E157" s="3">
        <v>9</v>
      </c>
      <c r="F157" s="3">
        <v>6</v>
      </c>
      <c r="G157" s="3">
        <v>0.1</v>
      </c>
      <c r="H157" s="3">
        <v>20</v>
      </c>
      <c r="I157" s="3">
        <v>200</v>
      </c>
      <c r="J157" s="3">
        <v>46</v>
      </c>
      <c r="K157" s="3">
        <v>0</v>
      </c>
      <c r="L157" s="3">
        <v>44</v>
      </c>
      <c r="M157" s="3">
        <v>11</v>
      </c>
      <c r="N157" s="3">
        <v>0.15</v>
      </c>
      <c r="O157" s="3">
        <v>0.02</v>
      </c>
      <c r="P157" s="3">
        <v>0.35</v>
      </c>
      <c r="Q157" s="3">
        <v>0</v>
      </c>
      <c r="R157" s="3">
        <v>75</v>
      </c>
    </row>
    <row r="158" spans="1:18" ht="20" x14ac:dyDescent="0.25">
      <c r="A158" s="5" t="s">
        <v>45</v>
      </c>
      <c r="B158" s="5" t="s">
        <v>46</v>
      </c>
      <c r="C158" s="3" t="s">
        <v>32</v>
      </c>
      <c r="D158" s="3">
        <v>300</v>
      </c>
      <c r="E158" s="3">
        <v>8</v>
      </c>
      <c r="F158" s="3">
        <v>4.5</v>
      </c>
      <c r="G158" s="3">
        <v>0.2</v>
      </c>
      <c r="H158" s="3">
        <v>35</v>
      </c>
      <c r="I158" s="3">
        <v>180</v>
      </c>
      <c r="J158" s="3">
        <v>43</v>
      </c>
      <c r="K158" s="3">
        <v>0</v>
      </c>
      <c r="L158" s="3">
        <v>40</v>
      </c>
      <c r="M158" s="3">
        <v>13</v>
      </c>
      <c r="N158" s="3">
        <v>0.2</v>
      </c>
      <c r="O158" s="3">
        <v>0.02</v>
      </c>
      <c r="P158" s="3">
        <v>0.4</v>
      </c>
      <c r="Q158" s="3">
        <v>0</v>
      </c>
      <c r="R158" s="3">
        <v>150</v>
      </c>
    </row>
    <row r="159" spans="1:18" ht="40" x14ac:dyDescent="0.25">
      <c r="A159" s="5" t="s">
        <v>45</v>
      </c>
      <c r="B159" s="5" t="s">
        <v>48</v>
      </c>
      <c r="C159" s="3" t="s">
        <v>32</v>
      </c>
      <c r="D159" s="3">
        <v>290</v>
      </c>
      <c r="E159" s="3">
        <v>9</v>
      </c>
      <c r="F159" s="3">
        <v>5</v>
      </c>
      <c r="G159" s="3">
        <v>0.2</v>
      </c>
      <c r="H159" s="3">
        <v>25</v>
      </c>
      <c r="I159" s="3">
        <v>160</v>
      </c>
      <c r="J159" s="3">
        <v>47</v>
      </c>
      <c r="K159" s="3">
        <v>2</v>
      </c>
      <c r="L159" s="3">
        <v>41</v>
      </c>
      <c r="M159" s="3">
        <v>14</v>
      </c>
      <c r="N159" s="3">
        <v>0.2</v>
      </c>
      <c r="O159" s="3">
        <v>0.02</v>
      </c>
      <c r="P159" s="3">
        <v>0.4</v>
      </c>
      <c r="Q159" s="3">
        <v>0.25</v>
      </c>
      <c r="R159" s="3">
        <v>25</v>
      </c>
    </row>
    <row r="160" spans="1:18" ht="40" x14ac:dyDescent="0.25">
      <c r="A160" s="5" t="s">
        <v>45</v>
      </c>
      <c r="B160" s="5" t="s">
        <v>47</v>
      </c>
      <c r="C160" s="3" t="s">
        <v>33</v>
      </c>
      <c r="D160" s="3">
        <v>280</v>
      </c>
      <c r="E160" s="3">
        <v>8</v>
      </c>
      <c r="F160" s="3">
        <v>3.5</v>
      </c>
      <c r="G160" s="3">
        <v>0</v>
      </c>
      <c r="H160" s="3">
        <v>0</v>
      </c>
      <c r="I160" s="3">
        <v>170</v>
      </c>
      <c r="J160" s="3">
        <v>42</v>
      </c>
      <c r="K160" s="3">
        <v>1</v>
      </c>
      <c r="L160" s="3">
        <v>39</v>
      </c>
      <c r="M160" s="3">
        <v>10</v>
      </c>
      <c r="N160" s="3">
        <v>0.1</v>
      </c>
      <c r="O160" s="3">
        <v>0.02</v>
      </c>
      <c r="P160" s="3">
        <v>0.35</v>
      </c>
      <c r="Q160" s="3">
        <v>0.1</v>
      </c>
      <c r="R160" s="3">
        <v>75</v>
      </c>
    </row>
    <row r="161" spans="1:18" ht="40" x14ac:dyDescent="0.25">
      <c r="A161" s="5" t="s">
        <v>45</v>
      </c>
      <c r="B161" s="5" t="s">
        <v>49</v>
      </c>
      <c r="C161" s="3" t="s">
        <v>27</v>
      </c>
      <c r="D161" s="3">
        <v>280</v>
      </c>
      <c r="E161" s="3">
        <v>0</v>
      </c>
      <c r="F161" s="3">
        <v>0</v>
      </c>
      <c r="G161" s="3">
        <v>0</v>
      </c>
      <c r="H161" s="3">
        <v>0</v>
      </c>
      <c r="I161" s="3">
        <v>20</v>
      </c>
      <c r="J161" s="3">
        <v>70</v>
      </c>
      <c r="K161" s="3">
        <v>0</v>
      </c>
      <c r="L161" s="3">
        <v>65</v>
      </c>
      <c r="M161" s="3">
        <v>0</v>
      </c>
      <c r="N161" s="3">
        <v>0</v>
      </c>
      <c r="O161" s="3">
        <v>0</v>
      </c>
      <c r="P161" s="3">
        <v>0</v>
      </c>
      <c r="Q161" s="3">
        <v>0</v>
      </c>
      <c r="R161" s="3">
        <v>0</v>
      </c>
    </row>
    <row r="162" spans="1:18" ht="40" x14ac:dyDescent="0.25">
      <c r="A162" s="5" t="s">
        <v>45</v>
      </c>
      <c r="B162" s="5" t="s">
        <v>47</v>
      </c>
      <c r="C162" s="3" t="s">
        <v>34</v>
      </c>
      <c r="D162" s="3">
        <v>270</v>
      </c>
      <c r="E162" s="3">
        <v>4.5</v>
      </c>
      <c r="F162" s="3">
        <v>3.5</v>
      </c>
      <c r="G162" s="3">
        <v>0</v>
      </c>
      <c r="H162" s="3">
        <v>5</v>
      </c>
      <c r="I162" s="3">
        <v>190</v>
      </c>
      <c r="J162" s="3">
        <v>47</v>
      </c>
      <c r="K162" s="3">
        <v>0</v>
      </c>
      <c r="L162" s="3">
        <v>45</v>
      </c>
      <c r="M162" s="3">
        <v>12</v>
      </c>
      <c r="N162" s="3">
        <v>0.15</v>
      </c>
      <c r="O162" s="3">
        <v>0.02</v>
      </c>
      <c r="P162" s="3">
        <v>0.35</v>
      </c>
      <c r="Q162" s="3">
        <v>0</v>
      </c>
      <c r="R162" s="3">
        <v>75</v>
      </c>
    </row>
    <row r="163" spans="1:18" ht="20" x14ac:dyDescent="0.25">
      <c r="A163" s="5" t="s">
        <v>45</v>
      </c>
      <c r="B163" s="5" t="s">
        <v>46</v>
      </c>
      <c r="C163" s="3" t="s">
        <v>33</v>
      </c>
      <c r="D163" s="3">
        <v>250</v>
      </c>
      <c r="E163" s="3">
        <v>7</v>
      </c>
      <c r="F163" s="3">
        <v>1.5</v>
      </c>
      <c r="G163" s="3">
        <v>0</v>
      </c>
      <c r="H163" s="3">
        <v>5</v>
      </c>
      <c r="I163" s="3">
        <v>140</v>
      </c>
      <c r="J163" s="3">
        <v>36</v>
      </c>
      <c r="K163" s="3">
        <v>1</v>
      </c>
      <c r="L163" s="3">
        <v>31</v>
      </c>
      <c r="M163" s="3">
        <v>11</v>
      </c>
      <c r="N163" s="3">
        <v>0.15</v>
      </c>
      <c r="O163" s="3">
        <v>0</v>
      </c>
      <c r="P163" s="3">
        <v>0.4</v>
      </c>
      <c r="Q163" s="3">
        <v>0.2</v>
      </c>
      <c r="R163" s="3">
        <v>150</v>
      </c>
    </row>
    <row r="164" spans="1:18" ht="40" x14ac:dyDescent="0.25">
      <c r="A164" s="5" t="s">
        <v>45</v>
      </c>
      <c r="B164" s="5" t="s">
        <v>48</v>
      </c>
      <c r="C164" s="3" t="s">
        <v>33</v>
      </c>
      <c r="D164" s="3">
        <v>250</v>
      </c>
      <c r="E164" s="3">
        <v>7</v>
      </c>
      <c r="F164" s="3">
        <v>2</v>
      </c>
      <c r="G164" s="3">
        <v>0</v>
      </c>
      <c r="H164" s="3">
        <v>0</v>
      </c>
      <c r="I164" s="3">
        <v>125</v>
      </c>
      <c r="J164" s="3">
        <v>41</v>
      </c>
      <c r="K164" s="3">
        <v>3</v>
      </c>
      <c r="L164" s="3">
        <v>32</v>
      </c>
      <c r="M164" s="3">
        <v>12</v>
      </c>
      <c r="N164" s="3">
        <v>0.15</v>
      </c>
      <c r="O164" s="3">
        <v>0</v>
      </c>
      <c r="P164" s="3">
        <v>0.4</v>
      </c>
      <c r="Q164" s="3">
        <v>0.4</v>
      </c>
      <c r="R164" s="3">
        <v>25</v>
      </c>
    </row>
    <row r="165" spans="1:18" ht="20" x14ac:dyDescent="0.25">
      <c r="A165" s="5" t="s">
        <v>45</v>
      </c>
      <c r="B165" s="5" t="s">
        <v>46</v>
      </c>
      <c r="C165" s="3" t="s">
        <v>32</v>
      </c>
      <c r="D165" s="3">
        <v>240</v>
      </c>
      <c r="E165" s="3">
        <v>7</v>
      </c>
      <c r="F165" s="3">
        <v>3.5</v>
      </c>
      <c r="G165" s="3">
        <v>0.2</v>
      </c>
      <c r="H165" s="3">
        <v>25</v>
      </c>
      <c r="I165" s="3">
        <v>150</v>
      </c>
      <c r="J165" s="3">
        <v>34</v>
      </c>
      <c r="K165" s="3">
        <v>0</v>
      </c>
      <c r="L165" s="3">
        <v>32</v>
      </c>
      <c r="M165" s="3">
        <v>10</v>
      </c>
      <c r="N165" s="3">
        <v>0.15</v>
      </c>
      <c r="O165" s="3">
        <v>0.02</v>
      </c>
      <c r="P165" s="3">
        <v>0.3</v>
      </c>
      <c r="Q165" s="3">
        <v>0</v>
      </c>
      <c r="R165" s="3">
        <v>150</v>
      </c>
    </row>
    <row r="166" spans="1:18" ht="20" x14ac:dyDescent="0.25">
      <c r="A166" s="5" t="s">
        <v>45</v>
      </c>
      <c r="B166" s="5" t="s">
        <v>46</v>
      </c>
      <c r="C166" s="3" t="s">
        <v>36</v>
      </c>
      <c r="D166" s="3">
        <v>240</v>
      </c>
      <c r="E166" s="3">
        <v>1</v>
      </c>
      <c r="F166" s="3">
        <v>1</v>
      </c>
      <c r="G166" s="3">
        <v>0</v>
      </c>
      <c r="H166" s="3">
        <v>10</v>
      </c>
      <c r="I166" s="3">
        <v>170</v>
      </c>
      <c r="J166" s="3">
        <v>43</v>
      </c>
      <c r="K166" s="3">
        <v>0</v>
      </c>
      <c r="L166" s="3">
        <v>41</v>
      </c>
      <c r="M166" s="3">
        <v>13</v>
      </c>
      <c r="N166" s="3">
        <v>0.25</v>
      </c>
      <c r="O166" s="3">
        <v>0</v>
      </c>
      <c r="P166" s="3">
        <v>0.4</v>
      </c>
      <c r="Q166" s="3">
        <v>0</v>
      </c>
      <c r="R166" s="3">
        <v>150</v>
      </c>
    </row>
    <row r="167" spans="1:18" ht="40" x14ac:dyDescent="0.25">
      <c r="A167" s="5" t="s">
        <v>45</v>
      </c>
      <c r="B167" s="5" t="s">
        <v>48</v>
      </c>
      <c r="C167" s="3" t="s">
        <v>35</v>
      </c>
      <c r="D167" s="3">
        <v>240</v>
      </c>
      <c r="E167" s="3">
        <v>2.5</v>
      </c>
      <c r="F167" s="3">
        <v>1.5</v>
      </c>
      <c r="G167" s="3">
        <v>0</v>
      </c>
      <c r="H167" s="3">
        <v>5</v>
      </c>
      <c r="I167" s="3">
        <v>140</v>
      </c>
      <c r="J167" s="3">
        <v>48</v>
      </c>
      <c r="K167" s="3">
        <v>2</v>
      </c>
      <c r="L167" s="3">
        <v>41</v>
      </c>
      <c r="M167" s="3">
        <v>14</v>
      </c>
      <c r="N167" s="3">
        <v>0.2</v>
      </c>
      <c r="O167" s="3">
        <v>0</v>
      </c>
      <c r="P167" s="3">
        <v>0.4</v>
      </c>
      <c r="Q167" s="3">
        <v>0.25</v>
      </c>
      <c r="R167" s="3">
        <v>25</v>
      </c>
    </row>
    <row r="168" spans="1:18" ht="40" x14ac:dyDescent="0.25">
      <c r="A168" s="5" t="s">
        <v>45</v>
      </c>
      <c r="B168" s="5" t="s">
        <v>48</v>
      </c>
      <c r="C168" s="3" t="s">
        <v>32</v>
      </c>
      <c r="D168" s="3">
        <v>230</v>
      </c>
      <c r="E168" s="3">
        <v>7</v>
      </c>
      <c r="F168" s="3">
        <v>3.5</v>
      </c>
      <c r="G168" s="3">
        <v>0.2</v>
      </c>
      <c r="H168" s="3">
        <v>20</v>
      </c>
      <c r="I168" s="3">
        <v>120</v>
      </c>
      <c r="J168" s="3">
        <v>37</v>
      </c>
      <c r="K168" s="3">
        <v>1</v>
      </c>
      <c r="L168" s="3">
        <v>32</v>
      </c>
      <c r="M168" s="3">
        <v>10</v>
      </c>
      <c r="N168" s="3">
        <v>0.15</v>
      </c>
      <c r="O168" s="3">
        <v>0</v>
      </c>
      <c r="P168" s="3">
        <v>0.3</v>
      </c>
      <c r="Q168" s="3">
        <v>0.2</v>
      </c>
      <c r="R168" s="3">
        <v>20</v>
      </c>
    </row>
    <row r="169" spans="1:18" ht="40" x14ac:dyDescent="0.25">
      <c r="A169" s="5" t="s">
        <v>45</v>
      </c>
      <c r="B169" s="5" t="s">
        <v>49</v>
      </c>
      <c r="C169" s="3" t="s">
        <v>26</v>
      </c>
      <c r="D169" s="3">
        <v>210</v>
      </c>
      <c r="E169" s="3">
        <v>0</v>
      </c>
      <c r="F169" s="3">
        <v>0</v>
      </c>
      <c r="G169" s="3">
        <v>0</v>
      </c>
      <c r="H169" s="3">
        <v>0</v>
      </c>
      <c r="I169" s="3">
        <v>15</v>
      </c>
      <c r="J169" s="3">
        <v>53</v>
      </c>
      <c r="K169" s="3">
        <v>0</v>
      </c>
      <c r="L169" s="3">
        <v>49</v>
      </c>
      <c r="M169" s="3">
        <v>0</v>
      </c>
      <c r="N169" s="3">
        <v>0</v>
      </c>
      <c r="O169" s="3">
        <v>0</v>
      </c>
      <c r="P169" s="3">
        <v>0</v>
      </c>
      <c r="Q169" s="3">
        <v>0</v>
      </c>
      <c r="R169" s="3">
        <v>0</v>
      </c>
    </row>
    <row r="170" spans="1:18" ht="20" x14ac:dyDescent="0.25">
      <c r="A170" s="5" t="s">
        <v>45</v>
      </c>
      <c r="B170" s="5" t="s">
        <v>46</v>
      </c>
      <c r="C170" s="3" t="s">
        <v>33</v>
      </c>
      <c r="D170" s="3">
        <v>200</v>
      </c>
      <c r="E170" s="3">
        <v>5</v>
      </c>
      <c r="F170" s="3">
        <v>1</v>
      </c>
      <c r="G170" s="3">
        <v>0</v>
      </c>
      <c r="H170" s="3">
        <v>5</v>
      </c>
      <c r="I170" s="3">
        <v>115</v>
      </c>
      <c r="J170" s="3">
        <v>29</v>
      </c>
      <c r="K170" s="3">
        <v>1</v>
      </c>
      <c r="L170" s="3">
        <v>24</v>
      </c>
      <c r="M170" s="3">
        <v>9</v>
      </c>
      <c r="N170" s="3">
        <v>0.1</v>
      </c>
      <c r="O170" s="3">
        <v>0</v>
      </c>
      <c r="P170" s="3">
        <v>0.35</v>
      </c>
      <c r="Q170" s="3">
        <v>0.15</v>
      </c>
      <c r="R170" s="3">
        <v>150</v>
      </c>
    </row>
    <row r="171" spans="1:18" ht="40" x14ac:dyDescent="0.25">
      <c r="A171" s="5" t="s">
        <v>45</v>
      </c>
      <c r="B171" s="5" t="s">
        <v>47</v>
      </c>
      <c r="C171" s="3" t="s">
        <v>32</v>
      </c>
      <c r="D171" s="3">
        <v>200</v>
      </c>
      <c r="E171" s="3">
        <v>6</v>
      </c>
      <c r="F171" s="3">
        <v>3.5</v>
      </c>
      <c r="G171" s="3">
        <v>0.1</v>
      </c>
      <c r="H171" s="3">
        <v>15</v>
      </c>
      <c r="I171" s="3">
        <v>125</v>
      </c>
      <c r="J171" s="3">
        <v>31</v>
      </c>
      <c r="K171" s="3">
        <v>0</v>
      </c>
      <c r="L171" s="3">
        <v>29</v>
      </c>
      <c r="M171" s="3">
        <v>7</v>
      </c>
      <c r="N171" s="3">
        <v>0.08</v>
      </c>
      <c r="O171" s="3">
        <v>0.02</v>
      </c>
      <c r="P171" s="3">
        <v>0.25</v>
      </c>
      <c r="Q171" s="3">
        <v>0</v>
      </c>
      <c r="R171" s="3">
        <v>75</v>
      </c>
    </row>
    <row r="172" spans="1:18" ht="40" x14ac:dyDescent="0.25">
      <c r="A172" s="5" t="s">
        <v>45</v>
      </c>
      <c r="B172" s="5" t="s">
        <v>48</v>
      </c>
      <c r="C172" s="3" t="s">
        <v>33</v>
      </c>
      <c r="D172" s="3">
        <v>200</v>
      </c>
      <c r="E172" s="3">
        <v>6</v>
      </c>
      <c r="F172" s="3">
        <v>1.5</v>
      </c>
      <c r="G172" s="3">
        <v>0</v>
      </c>
      <c r="H172" s="3">
        <v>0</v>
      </c>
      <c r="I172" s="3">
        <v>95</v>
      </c>
      <c r="J172" s="3">
        <v>32</v>
      </c>
      <c r="K172" s="3">
        <v>2</v>
      </c>
      <c r="L172" s="3">
        <v>25</v>
      </c>
      <c r="M172" s="3">
        <v>9</v>
      </c>
      <c r="N172" s="3">
        <v>0.1</v>
      </c>
      <c r="O172" s="3">
        <v>0</v>
      </c>
      <c r="P172" s="3">
        <v>0.3</v>
      </c>
      <c r="Q172" s="3">
        <v>0.3</v>
      </c>
      <c r="R172" s="3">
        <v>20</v>
      </c>
    </row>
    <row r="173" spans="1:18" ht="20" x14ac:dyDescent="0.25">
      <c r="A173" s="5" t="s">
        <v>45</v>
      </c>
      <c r="B173" s="5" t="s">
        <v>46</v>
      </c>
      <c r="C173" s="3" t="s">
        <v>35</v>
      </c>
      <c r="D173" s="3">
        <v>190</v>
      </c>
      <c r="E173" s="3">
        <v>1</v>
      </c>
      <c r="F173" s="3">
        <v>1</v>
      </c>
      <c r="G173" s="3">
        <v>0</v>
      </c>
      <c r="H173" s="3">
        <v>10</v>
      </c>
      <c r="I173" s="3">
        <v>130</v>
      </c>
      <c r="J173" s="3">
        <v>35</v>
      </c>
      <c r="K173" s="3">
        <v>0</v>
      </c>
      <c r="L173" s="3">
        <v>32</v>
      </c>
      <c r="M173" s="3">
        <v>11</v>
      </c>
      <c r="N173" s="3">
        <v>0.2</v>
      </c>
      <c r="O173" s="3">
        <v>0</v>
      </c>
      <c r="P173" s="3">
        <v>0.35</v>
      </c>
      <c r="Q173" s="3">
        <v>0</v>
      </c>
      <c r="R173" s="3">
        <v>150</v>
      </c>
    </row>
    <row r="174" spans="1:18" ht="40" x14ac:dyDescent="0.25">
      <c r="A174" s="5" t="s">
        <v>45</v>
      </c>
      <c r="B174" s="5" t="s">
        <v>48</v>
      </c>
      <c r="C174" s="3" t="s">
        <v>34</v>
      </c>
      <c r="D174" s="3">
        <v>190</v>
      </c>
      <c r="E174" s="3">
        <v>2</v>
      </c>
      <c r="F174" s="3">
        <v>1</v>
      </c>
      <c r="G174" s="3">
        <v>0</v>
      </c>
      <c r="H174" s="3">
        <v>5</v>
      </c>
      <c r="I174" s="3">
        <v>110</v>
      </c>
      <c r="J174" s="3">
        <v>37</v>
      </c>
      <c r="K174" s="3">
        <v>1</v>
      </c>
      <c r="L174" s="3">
        <v>32</v>
      </c>
      <c r="M174" s="3">
        <v>11</v>
      </c>
      <c r="N174" s="3">
        <v>0.15</v>
      </c>
      <c r="O174" s="3">
        <v>0</v>
      </c>
      <c r="P174" s="3">
        <v>0.3</v>
      </c>
      <c r="Q174" s="3">
        <v>0.2</v>
      </c>
      <c r="R174" s="3">
        <v>20</v>
      </c>
    </row>
    <row r="175" spans="1:18" ht="20" x14ac:dyDescent="0.25">
      <c r="A175" s="5" t="s">
        <v>45</v>
      </c>
      <c r="B175" s="5" t="s">
        <v>46</v>
      </c>
      <c r="C175" s="3" t="s">
        <v>32</v>
      </c>
      <c r="D175" s="3">
        <v>180</v>
      </c>
      <c r="E175" s="3">
        <v>5</v>
      </c>
      <c r="F175" s="3">
        <v>3</v>
      </c>
      <c r="G175" s="3">
        <v>0.1</v>
      </c>
      <c r="H175" s="3">
        <v>20</v>
      </c>
      <c r="I175" s="3">
        <v>115</v>
      </c>
      <c r="J175" s="3">
        <v>25</v>
      </c>
      <c r="K175" s="3">
        <v>0</v>
      </c>
      <c r="L175" s="3">
        <v>23</v>
      </c>
      <c r="M175" s="3">
        <v>8</v>
      </c>
      <c r="N175" s="3">
        <v>0.15</v>
      </c>
      <c r="O175" s="3">
        <v>0</v>
      </c>
      <c r="P175" s="3">
        <v>0.25</v>
      </c>
      <c r="Q175" s="3">
        <v>0</v>
      </c>
      <c r="R175" s="3">
        <v>75</v>
      </c>
    </row>
    <row r="176" spans="1:18" ht="40" x14ac:dyDescent="0.25">
      <c r="A176" s="5" t="s">
        <v>45</v>
      </c>
      <c r="B176" s="5" t="s">
        <v>47</v>
      </c>
      <c r="C176" s="3" t="s">
        <v>31</v>
      </c>
      <c r="D176" s="3">
        <v>180</v>
      </c>
      <c r="E176" s="3">
        <v>3</v>
      </c>
      <c r="F176" s="3">
        <v>2</v>
      </c>
      <c r="G176" s="3">
        <v>0</v>
      </c>
      <c r="H176" s="3">
        <v>5</v>
      </c>
      <c r="I176" s="3">
        <v>120</v>
      </c>
      <c r="J176" s="3">
        <v>31</v>
      </c>
      <c r="K176" s="3">
        <v>0</v>
      </c>
      <c r="L176" s="3">
        <v>29</v>
      </c>
      <c r="M176" s="3">
        <v>7</v>
      </c>
      <c r="N176" s="3">
        <v>0.1</v>
      </c>
      <c r="O176" s="3">
        <v>0</v>
      </c>
      <c r="P176" s="3">
        <v>0.25</v>
      </c>
      <c r="Q176" s="3">
        <v>0</v>
      </c>
      <c r="R176" s="3">
        <v>75</v>
      </c>
    </row>
    <row r="177" spans="1:18" ht="40" x14ac:dyDescent="0.25">
      <c r="A177" s="5" t="s">
        <v>45</v>
      </c>
      <c r="B177" s="5" t="s">
        <v>47</v>
      </c>
      <c r="C177" s="3" t="s">
        <v>33</v>
      </c>
      <c r="D177" s="3">
        <v>180</v>
      </c>
      <c r="E177" s="3">
        <v>5</v>
      </c>
      <c r="F177" s="3">
        <v>2.5</v>
      </c>
      <c r="G177" s="3">
        <v>0</v>
      </c>
      <c r="H177" s="3">
        <v>0</v>
      </c>
      <c r="I177" s="3">
        <v>110</v>
      </c>
      <c r="J177" s="3">
        <v>28</v>
      </c>
      <c r="K177" s="3">
        <v>1</v>
      </c>
      <c r="L177" s="3">
        <v>25</v>
      </c>
      <c r="M177" s="3">
        <v>6</v>
      </c>
      <c r="N177" s="3">
        <v>0.06</v>
      </c>
      <c r="O177" s="3">
        <v>0</v>
      </c>
      <c r="P177" s="3">
        <v>0.25</v>
      </c>
      <c r="Q177" s="3">
        <v>0.08</v>
      </c>
      <c r="R177" s="3">
        <v>75</v>
      </c>
    </row>
    <row r="178" spans="1:18" ht="20" x14ac:dyDescent="0.25">
      <c r="A178" s="5" t="s">
        <v>45</v>
      </c>
      <c r="B178" s="5" t="s">
        <v>46</v>
      </c>
      <c r="C178" s="3" t="s">
        <v>33</v>
      </c>
      <c r="D178" s="3">
        <v>150</v>
      </c>
      <c r="E178" s="3">
        <v>4.5</v>
      </c>
      <c r="F178" s="3">
        <v>1</v>
      </c>
      <c r="G178" s="3">
        <v>0</v>
      </c>
      <c r="H178" s="3">
        <v>0</v>
      </c>
      <c r="I178" s="3">
        <v>90</v>
      </c>
      <c r="J178" s="3">
        <v>21</v>
      </c>
      <c r="K178" s="3">
        <v>1</v>
      </c>
      <c r="L178" s="3">
        <v>17</v>
      </c>
      <c r="M178" s="3">
        <v>7</v>
      </c>
      <c r="N178" s="3">
        <v>0.1</v>
      </c>
      <c r="O178" s="3">
        <v>0</v>
      </c>
      <c r="P178" s="3">
        <v>0.25</v>
      </c>
      <c r="Q178" s="3">
        <v>0.1</v>
      </c>
      <c r="R178" s="3">
        <v>75</v>
      </c>
    </row>
    <row r="179" spans="1:18" ht="40" x14ac:dyDescent="0.25">
      <c r="A179" s="5" t="s">
        <v>45</v>
      </c>
      <c r="B179" s="5" t="s">
        <v>48</v>
      </c>
      <c r="C179" s="3" t="s">
        <v>32</v>
      </c>
      <c r="D179" s="3">
        <v>150</v>
      </c>
      <c r="E179" s="3">
        <v>4.5</v>
      </c>
      <c r="F179" s="3">
        <v>2.5</v>
      </c>
      <c r="G179" s="3">
        <v>0.1</v>
      </c>
      <c r="H179" s="3">
        <v>15</v>
      </c>
      <c r="I179" s="3">
        <v>80</v>
      </c>
      <c r="J179" s="3">
        <v>26</v>
      </c>
      <c r="K179" s="3">
        <v>1</v>
      </c>
      <c r="L179" s="3">
        <v>22</v>
      </c>
      <c r="M179" s="3">
        <v>7</v>
      </c>
      <c r="N179" s="3">
        <v>0.1</v>
      </c>
      <c r="O179" s="3">
        <v>0</v>
      </c>
      <c r="P179" s="3">
        <v>0.2</v>
      </c>
      <c r="Q179" s="3">
        <v>0.1</v>
      </c>
      <c r="R179" s="3">
        <v>10</v>
      </c>
    </row>
    <row r="180" spans="1:18" ht="20" x14ac:dyDescent="0.25">
      <c r="A180" s="5" t="s">
        <v>45</v>
      </c>
      <c r="B180" s="5" t="s">
        <v>46</v>
      </c>
      <c r="C180" s="3" t="s">
        <v>34</v>
      </c>
      <c r="D180" s="3">
        <v>140</v>
      </c>
      <c r="E180" s="3">
        <v>1</v>
      </c>
      <c r="F180" s="3">
        <v>0.5</v>
      </c>
      <c r="G180" s="3">
        <v>0</v>
      </c>
      <c r="H180" s="3">
        <v>5</v>
      </c>
      <c r="I180" s="3">
        <v>105</v>
      </c>
      <c r="J180" s="3">
        <v>25</v>
      </c>
      <c r="K180" s="3">
        <v>0</v>
      </c>
      <c r="L180" s="3">
        <v>24</v>
      </c>
      <c r="M180" s="3">
        <v>8</v>
      </c>
      <c r="N180" s="3">
        <v>0.15</v>
      </c>
      <c r="O180" s="3">
        <v>0</v>
      </c>
      <c r="P180" s="3">
        <v>0.25</v>
      </c>
      <c r="Q180" s="3">
        <v>0</v>
      </c>
      <c r="R180" s="3">
        <v>75</v>
      </c>
    </row>
    <row r="181" spans="1:18" ht="40" x14ac:dyDescent="0.25">
      <c r="A181" s="5" t="s">
        <v>45</v>
      </c>
      <c r="B181" s="5" t="s">
        <v>49</v>
      </c>
      <c r="C181" s="3" t="s">
        <v>25</v>
      </c>
      <c r="D181" s="3">
        <v>140</v>
      </c>
      <c r="E181" s="3">
        <v>0</v>
      </c>
      <c r="F181" s="3">
        <v>0</v>
      </c>
      <c r="G181" s="3">
        <v>0</v>
      </c>
      <c r="H181" s="3">
        <v>0</v>
      </c>
      <c r="I181" s="3">
        <v>10</v>
      </c>
      <c r="J181" s="3">
        <v>35</v>
      </c>
      <c r="K181" s="3">
        <v>0</v>
      </c>
      <c r="L181" s="3">
        <v>33</v>
      </c>
      <c r="M181" s="3">
        <v>0</v>
      </c>
      <c r="N181" s="3">
        <v>0</v>
      </c>
      <c r="O181" s="3">
        <v>0</v>
      </c>
      <c r="P181" s="3">
        <v>0</v>
      </c>
      <c r="Q181" s="3">
        <v>0</v>
      </c>
      <c r="R181" s="3">
        <v>0</v>
      </c>
    </row>
    <row r="182" spans="1:18" ht="40" x14ac:dyDescent="0.25">
      <c r="A182" s="5" t="s">
        <v>45</v>
      </c>
      <c r="B182" s="5" t="s">
        <v>48</v>
      </c>
      <c r="C182" s="3" t="s">
        <v>31</v>
      </c>
      <c r="D182" s="3">
        <v>130</v>
      </c>
      <c r="E182" s="3">
        <v>1.5</v>
      </c>
      <c r="F182" s="3">
        <v>1</v>
      </c>
      <c r="G182" s="3">
        <v>0</v>
      </c>
      <c r="H182" s="3">
        <v>5</v>
      </c>
      <c r="I182" s="3">
        <v>70</v>
      </c>
      <c r="J182" s="3">
        <v>26</v>
      </c>
      <c r="K182" s="3">
        <v>1</v>
      </c>
      <c r="L182" s="3">
        <v>23</v>
      </c>
      <c r="M182" s="3">
        <v>7</v>
      </c>
      <c r="N182" s="3">
        <v>0.1</v>
      </c>
      <c r="O182" s="3">
        <v>0</v>
      </c>
      <c r="P182" s="3">
        <v>0.2</v>
      </c>
      <c r="Q182" s="3">
        <v>0.1</v>
      </c>
      <c r="R182" s="3">
        <v>10</v>
      </c>
    </row>
    <row r="183" spans="1:18" ht="40" x14ac:dyDescent="0.25">
      <c r="A183" s="5" t="s">
        <v>45</v>
      </c>
      <c r="B183" s="5" t="s">
        <v>48</v>
      </c>
      <c r="C183" s="3" t="s">
        <v>33</v>
      </c>
      <c r="D183" s="3">
        <v>130</v>
      </c>
      <c r="E183" s="3">
        <v>3.5</v>
      </c>
      <c r="F183" s="3">
        <v>1</v>
      </c>
      <c r="G183" s="3">
        <v>0</v>
      </c>
      <c r="H183" s="3">
        <v>0</v>
      </c>
      <c r="I183" s="3">
        <v>60</v>
      </c>
      <c r="J183" s="3">
        <v>23</v>
      </c>
      <c r="K183" s="3">
        <v>2</v>
      </c>
      <c r="L183" s="3">
        <v>18</v>
      </c>
      <c r="M183" s="3">
        <v>6</v>
      </c>
      <c r="N183" s="3">
        <v>0.06</v>
      </c>
      <c r="O183" s="3">
        <v>0</v>
      </c>
      <c r="P183" s="3">
        <v>0.2</v>
      </c>
      <c r="Q183" s="3">
        <v>0.2</v>
      </c>
      <c r="R183" s="3">
        <v>10</v>
      </c>
    </row>
    <row r="184" spans="1:18" ht="20" x14ac:dyDescent="0.25">
      <c r="A184" s="5" t="s">
        <v>45</v>
      </c>
      <c r="B184" s="5" t="s">
        <v>46</v>
      </c>
      <c r="C184" s="3" t="s">
        <v>32</v>
      </c>
      <c r="D184" s="3">
        <v>120</v>
      </c>
      <c r="E184" s="3">
        <v>4</v>
      </c>
      <c r="F184" s="3">
        <v>2</v>
      </c>
      <c r="G184" s="3">
        <v>0.1</v>
      </c>
      <c r="H184" s="3">
        <v>15</v>
      </c>
      <c r="I184" s="3">
        <v>80</v>
      </c>
      <c r="J184" s="3">
        <v>16</v>
      </c>
      <c r="K184" s="3">
        <v>0</v>
      </c>
      <c r="L184" s="3">
        <v>15</v>
      </c>
      <c r="M184" s="3">
        <v>5</v>
      </c>
      <c r="N184" s="3">
        <v>0.1</v>
      </c>
      <c r="O184" s="3">
        <v>0</v>
      </c>
      <c r="P184" s="3">
        <v>0.15</v>
      </c>
      <c r="Q184" s="3">
        <v>0</v>
      </c>
      <c r="R184" s="3">
        <v>75</v>
      </c>
    </row>
    <row r="185" spans="1:18" ht="20" x14ac:dyDescent="0.25">
      <c r="A185" s="5" t="s">
        <v>45</v>
      </c>
      <c r="B185" s="5" t="s">
        <v>46</v>
      </c>
      <c r="C185" s="3" t="s">
        <v>31</v>
      </c>
      <c r="D185" s="3">
        <v>100</v>
      </c>
      <c r="E185" s="3">
        <v>1</v>
      </c>
      <c r="F185" s="3">
        <v>0.5</v>
      </c>
      <c r="G185" s="3">
        <v>0</v>
      </c>
      <c r="H185" s="3">
        <v>5</v>
      </c>
      <c r="I185" s="3">
        <v>70</v>
      </c>
      <c r="J185" s="3">
        <v>17</v>
      </c>
      <c r="K185" s="3">
        <v>0</v>
      </c>
      <c r="L185" s="3">
        <v>15</v>
      </c>
      <c r="M185" s="3">
        <v>6</v>
      </c>
      <c r="N185" s="3">
        <v>0.1</v>
      </c>
      <c r="O185" s="3">
        <v>0</v>
      </c>
      <c r="P185" s="3">
        <v>0.15</v>
      </c>
      <c r="Q185" s="3">
        <v>0</v>
      </c>
      <c r="R185" s="3">
        <v>75</v>
      </c>
    </row>
    <row r="186" spans="1:18" ht="20" x14ac:dyDescent="0.25">
      <c r="A186" s="5" t="s">
        <v>45</v>
      </c>
      <c r="B186" s="5" t="s">
        <v>46</v>
      </c>
      <c r="C186" s="3" t="s">
        <v>33</v>
      </c>
      <c r="D186" s="3">
        <v>100</v>
      </c>
      <c r="E186" s="3">
        <v>3</v>
      </c>
      <c r="F186" s="3">
        <v>1</v>
      </c>
      <c r="G186" s="3">
        <v>0</v>
      </c>
      <c r="H186" s="3">
        <v>0</v>
      </c>
      <c r="I186" s="3">
        <v>60</v>
      </c>
      <c r="J186" s="3">
        <v>14</v>
      </c>
      <c r="K186" s="3">
        <v>1</v>
      </c>
      <c r="L186" s="3">
        <v>11</v>
      </c>
      <c r="M186" s="3">
        <v>4</v>
      </c>
      <c r="N186" s="3">
        <v>0.06</v>
      </c>
      <c r="O186" s="3">
        <v>0</v>
      </c>
      <c r="P186" s="3">
        <v>0.15</v>
      </c>
      <c r="Q186" s="3">
        <v>0.08</v>
      </c>
      <c r="R186" s="3">
        <v>75</v>
      </c>
    </row>
    <row r="187" spans="1:18" ht="20" x14ac:dyDescent="0.25">
      <c r="A187" s="5" t="s">
        <v>63</v>
      </c>
      <c r="B187" s="5" t="s">
        <v>64</v>
      </c>
      <c r="C187" s="3" t="s">
        <v>32</v>
      </c>
      <c r="D187" s="3">
        <v>300</v>
      </c>
      <c r="E187" s="3">
        <v>5</v>
      </c>
      <c r="F187" s="3">
        <v>2.5</v>
      </c>
      <c r="G187" s="3">
        <v>0.1</v>
      </c>
      <c r="H187" s="3">
        <v>15</v>
      </c>
      <c r="I187" s="3">
        <v>160</v>
      </c>
      <c r="J187" s="3">
        <v>53</v>
      </c>
      <c r="K187" s="3">
        <v>7</v>
      </c>
      <c r="L187" s="3">
        <v>34</v>
      </c>
      <c r="M187" s="3">
        <v>20</v>
      </c>
      <c r="N187" s="3">
        <v>0.08</v>
      </c>
      <c r="O187" s="3">
        <v>0.15</v>
      </c>
      <c r="P187" s="3">
        <v>0.2</v>
      </c>
      <c r="Q187" s="3">
        <v>0.2</v>
      </c>
      <c r="R187" s="3">
        <v>15</v>
      </c>
    </row>
    <row r="188" spans="1:18" ht="20" x14ac:dyDescent="0.25">
      <c r="A188" s="5" t="s">
        <v>63</v>
      </c>
      <c r="B188" s="5" t="s">
        <v>64</v>
      </c>
      <c r="C188" s="3" t="s">
        <v>33</v>
      </c>
      <c r="D188" s="3">
        <v>290</v>
      </c>
      <c r="E188" s="3">
        <v>4.5</v>
      </c>
      <c r="F188" s="3">
        <v>1.5</v>
      </c>
      <c r="G188" s="3">
        <v>0</v>
      </c>
      <c r="H188" s="3">
        <v>5</v>
      </c>
      <c r="I188" s="3">
        <v>150</v>
      </c>
      <c r="J188" s="3">
        <v>51</v>
      </c>
      <c r="K188" s="3">
        <v>7</v>
      </c>
      <c r="L188" s="3">
        <v>31</v>
      </c>
      <c r="M188" s="3">
        <v>19</v>
      </c>
      <c r="N188" s="3">
        <v>0.06</v>
      </c>
      <c r="O188" s="3">
        <v>0.15</v>
      </c>
      <c r="P188" s="3">
        <v>0.2</v>
      </c>
      <c r="Q188" s="3">
        <v>0.2</v>
      </c>
      <c r="R188" s="3">
        <v>15</v>
      </c>
    </row>
    <row r="189" spans="1:18" ht="20" x14ac:dyDescent="0.25">
      <c r="A189" s="5" t="s">
        <v>63</v>
      </c>
      <c r="B189" s="5" t="s">
        <v>66</v>
      </c>
      <c r="C189" s="3" t="s">
        <v>35</v>
      </c>
      <c r="D189" s="3">
        <v>290</v>
      </c>
      <c r="E189" s="3">
        <v>1</v>
      </c>
      <c r="F189" s="3">
        <v>0.3</v>
      </c>
      <c r="G189" s="3">
        <v>0</v>
      </c>
      <c r="H189" s="3">
        <v>5</v>
      </c>
      <c r="I189" s="3">
        <v>125</v>
      </c>
      <c r="J189" s="3">
        <v>58</v>
      </c>
      <c r="K189" s="3">
        <v>7</v>
      </c>
      <c r="L189" s="3">
        <v>41</v>
      </c>
      <c r="M189" s="3">
        <v>16</v>
      </c>
      <c r="N189" s="3">
        <v>0.04</v>
      </c>
      <c r="O189" s="3">
        <v>1</v>
      </c>
      <c r="P189" s="3">
        <v>0.1</v>
      </c>
      <c r="Q189" s="3">
        <v>0.08</v>
      </c>
      <c r="R189" s="3">
        <v>0</v>
      </c>
    </row>
    <row r="190" spans="1:18" ht="20" x14ac:dyDescent="0.25">
      <c r="A190" s="5" t="s">
        <v>63</v>
      </c>
      <c r="B190" s="5" t="s">
        <v>66</v>
      </c>
      <c r="C190" s="3" t="s">
        <v>32</v>
      </c>
      <c r="D190" s="3">
        <v>290</v>
      </c>
      <c r="E190" s="3">
        <v>2</v>
      </c>
      <c r="F190" s="3">
        <v>1</v>
      </c>
      <c r="G190" s="3">
        <v>0</v>
      </c>
      <c r="H190" s="3">
        <v>5</v>
      </c>
      <c r="I190" s="3">
        <v>125</v>
      </c>
      <c r="J190" s="3">
        <v>58</v>
      </c>
      <c r="K190" s="3">
        <v>7</v>
      </c>
      <c r="L190" s="3">
        <v>41</v>
      </c>
      <c r="M190" s="3">
        <v>16</v>
      </c>
      <c r="N190" s="3">
        <v>0.04</v>
      </c>
      <c r="O190" s="3">
        <v>1</v>
      </c>
      <c r="P190" s="3">
        <v>0.1</v>
      </c>
      <c r="Q190" s="3">
        <v>0.08</v>
      </c>
      <c r="R190" s="3">
        <v>0</v>
      </c>
    </row>
    <row r="191" spans="1:18" ht="20" x14ac:dyDescent="0.25">
      <c r="A191" s="5" t="s">
        <v>63</v>
      </c>
      <c r="B191" s="5" t="s">
        <v>66</v>
      </c>
      <c r="C191" s="3" t="s">
        <v>33</v>
      </c>
      <c r="D191" s="3">
        <v>290</v>
      </c>
      <c r="E191" s="3">
        <v>2</v>
      </c>
      <c r="F191" s="3">
        <v>0.4</v>
      </c>
      <c r="G191" s="3">
        <v>0</v>
      </c>
      <c r="H191" s="3">
        <v>5</v>
      </c>
      <c r="I191" s="3">
        <v>120</v>
      </c>
      <c r="J191" s="3">
        <v>58</v>
      </c>
      <c r="K191" s="3">
        <v>8</v>
      </c>
      <c r="L191" s="3">
        <v>40</v>
      </c>
      <c r="M191" s="3">
        <v>16</v>
      </c>
      <c r="N191" s="3">
        <v>0.02</v>
      </c>
      <c r="O191" s="3">
        <v>1</v>
      </c>
      <c r="P191" s="3">
        <v>0.1</v>
      </c>
      <c r="Q191" s="3">
        <v>0.08</v>
      </c>
      <c r="R191" s="3">
        <v>0</v>
      </c>
    </row>
    <row r="192" spans="1:18" ht="20" x14ac:dyDescent="0.25">
      <c r="A192" s="5" t="s">
        <v>63</v>
      </c>
      <c r="B192" s="5" t="s">
        <v>64</v>
      </c>
      <c r="C192" s="3" t="s">
        <v>35</v>
      </c>
      <c r="D192" s="3">
        <v>280</v>
      </c>
      <c r="E192" s="3">
        <v>2.5</v>
      </c>
      <c r="F192" s="3">
        <v>1.5</v>
      </c>
      <c r="G192" s="3">
        <v>0</v>
      </c>
      <c r="H192" s="3">
        <v>5</v>
      </c>
      <c r="I192" s="3">
        <v>150</v>
      </c>
      <c r="J192" s="3">
        <v>53</v>
      </c>
      <c r="K192" s="3">
        <v>7</v>
      </c>
      <c r="L192" s="3">
        <v>34</v>
      </c>
      <c r="M192" s="3">
        <v>20</v>
      </c>
      <c r="N192" s="3">
        <v>0.1</v>
      </c>
      <c r="O192" s="3">
        <v>0.15</v>
      </c>
      <c r="P192" s="3">
        <v>0.2</v>
      </c>
      <c r="Q192" s="3">
        <v>0</v>
      </c>
      <c r="R192" s="3" t="s">
        <v>52</v>
      </c>
    </row>
    <row r="193" spans="1:18" ht="40" x14ac:dyDescent="0.25">
      <c r="A193" s="5" t="s">
        <v>63</v>
      </c>
      <c r="B193" s="5" t="s">
        <v>65</v>
      </c>
      <c r="C193" s="3" t="s">
        <v>32</v>
      </c>
      <c r="D193" s="3">
        <v>270</v>
      </c>
      <c r="E193" s="3">
        <v>1.5</v>
      </c>
      <c r="F193" s="3">
        <v>0.5</v>
      </c>
      <c r="G193" s="3">
        <v>0</v>
      </c>
      <c r="H193" s="3">
        <v>5</v>
      </c>
      <c r="I193" s="3">
        <v>125</v>
      </c>
      <c r="J193" s="3">
        <v>53</v>
      </c>
      <c r="K193" s="3">
        <v>6</v>
      </c>
      <c r="L193" s="3">
        <v>37</v>
      </c>
      <c r="M193" s="3">
        <v>16</v>
      </c>
      <c r="N193" s="3">
        <v>0.5</v>
      </c>
      <c r="O193" s="3">
        <v>0.8</v>
      </c>
      <c r="P193" s="3">
        <v>0.1</v>
      </c>
      <c r="Q193" s="3">
        <v>0.06</v>
      </c>
      <c r="R193" s="3">
        <v>0</v>
      </c>
    </row>
    <row r="194" spans="1:18" ht="40" x14ac:dyDescent="0.25">
      <c r="A194" s="5" t="s">
        <v>63</v>
      </c>
      <c r="B194" s="5" t="s">
        <v>65</v>
      </c>
      <c r="C194" s="3" t="s">
        <v>33</v>
      </c>
      <c r="D194" s="3">
        <v>270</v>
      </c>
      <c r="E194" s="3">
        <v>1.5</v>
      </c>
      <c r="F194" s="3">
        <v>0.4</v>
      </c>
      <c r="G194" s="3">
        <v>0</v>
      </c>
      <c r="H194" s="3">
        <v>5</v>
      </c>
      <c r="I194" s="3">
        <v>120</v>
      </c>
      <c r="J194" s="3">
        <v>53</v>
      </c>
      <c r="K194" s="3">
        <v>6</v>
      </c>
      <c r="L194" s="3">
        <v>36</v>
      </c>
      <c r="M194" s="3">
        <v>15</v>
      </c>
      <c r="N194" s="3">
        <v>0.5</v>
      </c>
      <c r="O194" s="3">
        <v>0.8</v>
      </c>
      <c r="P194" s="3">
        <v>0.1</v>
      </c>
      <c r="Q194" s="3">
        <v>0.06</v>
      </c>
      <c r="R194" s="3">
        <v>0</v>
      </c>
    </row>
    <row r="195" spans="1:18" ht="40" x14ac:dyDescent="0.25">
      <c r="A195" s="5" t="s">
        <v>63</v>
      </c>
      <c r="B195" s="5" t="s">
        <v>65</v>
      </c>
      <c r="C195" s="3" t="s">
        <v>35</v>
      </c>
      <c r="D195" s="3">
        <v>260</v>
      </c>
      <c r="E195" s="3">
        <v>1</v>
      </c>
      <c r="F195" s="3">
        <v>0.3</v>
      </c>
      <c r="G195" s="3">
        <v>0</v>
      </c>
      <c r="H195" s="3">
        <v>5</v>
      </c>
      <c r="I195" s="3">
        <v>120</v>
      </c>
      <c r="J195" s="3">
        <v>54</v>
      </c>
      <c r="K195" s="3">
        <v>6</v>
      </c>
      <c r="L195" s="3">
        <v>37</v>
      </c>
      <c r="M195" s="3">
        <v>16</v>
      </c>
      <c r="N195" s="3">
        <v>0.5</v>
      </c>
      <c r="O195" s="3">
        <v>0.8</v>
      </c>
      <c r="P195" s="3">
        <v>0.1</v>
      </c>
      <c r="Q195" s="3">
        <v>0.3</v>
      </c>
      <c r="R195" s="3">
        <v>15</v>
      </c>
    </row>
    <row r="196" spans="1:18" ht="20" x14ac:dyDescent="0.25">
      <c r="A196" s="5" t="s">
        <v>50</v>
      </c>
      <c r="B196" s="5" t="s">
        <v>54</v>
      </c>
      <c r="C196" s="3" t="s">
        <v>32</v>
      </c>
      <c r="D196" s="3">
        <v>450</v>
      </c>
      <c r="E196" s="3">
        <v>10</v>
      </c>
      <c r="F196" s="3">
        <v>5</v>
      </c>
      <c r="G196" s="3">
        <v>0.3</v>
      </c>
      <c r="H196" s="3">
        <v>40</v>
      </c>
      <c r="I196" s="3">
        <v>230</v>
      </c>
      <c r="J196" s="3">
        <v>72</v>
      </c>
      <c r="K196" s="3">
        <v>2</v>
      </c>
      <c r="L196" s="3">
        <v>71</v>
      </c>
      <c r="M196" s="3">
        <v>17</v>
      </c>
      <c r="N196" s="3">
        <v>0.25</v>
      </c>
      <c r="O196" s="3">
        <v>0.2</v>
      </c>
      <c r="P196" s="3">
        <v>0.5</v>
      </c>
      <c r="Q196" s="3">
        <v>0.06</v>
      </c>
      <c r="R196" s="3">
        <v>110</v>
      </c>
    </row>
    <row r="197" spans="1:18" ht="20" x14ac:dyDescent="0.25">
      <c r="A197" s="5" t="s">
        <v>50</v>
      </c>
      <c r="B197" s="5" t="s">
        <v>54</v>
      </c>
      <c r="C197" s="3" t="s">
        <v>33</v>
      </c>
      <c r="D197" s="3">
        <v>390</v>
      </c>
      <c r="E197" s="3">
        <v>8</v>
      </c>
      <c r="F197" s="3">
        <v>1</v>
      </c>
      <c r="G197" s="3">
        <v>0</v>
      </c>
      <c r="H197" s="3">
        <v>0</v>
      </c>
      <c r="I197" s="3">
        <v>180</v>
      </c>
      <c r="J197" s="3">
        <v>64</v>
      </c>
      <c r="K197" s="3">
        <v>4</v>
      </c>
      <c r="L197" s="3">
        <v>58</v>
      </c>
      <c r="M197" s="3">
        <v>14</v>
      </c>
      <c r="N197" s="3">
        <v>0.2</v>
      </c>
      <c r="O197" s="3">
        <v>0.2</v>
      </c>
      <c r="P197" s="3">
        <v>0.6</v>
      </c>
      <c r="Q197" s="3">
        <v>0.3</v>
      </c>
      <c r="R197" s="3">
        <v>110</v>
      </c>
    </row>
    <row r="198" spans="1:18" ht="20" x14ac:dyDescent="0.25">
      <c r="A198" s="5" t="s">
        <v>50</v>
      </c>
      <c r="B198" s="5" t="s">
        <v>54</v>
      </c>
      <c r="C198" s="3" t="s">
        <v>36</v>
      </c>
      <c r="D198" s="3">
        <v>370</v>
      </c>
      <c r="E198" s="3">
        <v>0.5</v>
      </c>
      <c r="F198" s="3">
        <v>0.3</v>
      </c>
      <c r="G198" s="3">
        <v>0</v>
      </c>
      <c r="H198" s="3">
        <v>10</v>
      </c>
      <c r="I198" s="3">
        <v>200</v>
      </c>
      <c r="J198" s="3">
        <v>73</v>
      </c>
      <c r="K198" s="3">
        <v>2</v>
      </c>
      <c r="L198" s="3">
        <v>71</v>
      </c>
      <c r="M198" s="3">
        <v>18</v>
      </c>
      <c r="N198" s="3">
        <v>0.3</v>
      </c>
      <c r="O198" s="3">
        <v>0.2</v>
      </c>
      <c r="P198" s="3">
        <v>0.6</v>
      </c>
      <c r="Q198" s="3">
        <v>0.06</v>
      </c>
      <c r="R198" s="3">
        <v>110</v>
      </c>
    </row>
    <row r="199" spans="1:18" ht="20" x14ac:dyDescent="0.25">
      <c r="A199" s="5" t="s">
        <v>50</v>
      </c>
      <c r="B199" s="5" t="s">
        <v>54</v>
      </c>
      <c r="C199" s="3" t="s">
        <v>32</v>
      </c>
      <c r="D199" s="3">
        <v>350</v>
      </c>
      <c r="E199" s="3">
        <v>8</v>
      </c>
      <c r="F199" s="3">
        <v>4</v>
      </c>
      <c r="G199" s="3">
        <v>0.2</v>
      </c>
      <c r="H199" s="3">
        <v>30</v>
      </c>
      <c r="I199" s="3">
        <v>180</v>
      </c>
      <c r="J199" s="3">
        <v>57</v>
      </c>
      <c r="K199" s="3">
        <v>1</v>
      </c>
      <c r="L199" s="3">
        <v>55</v>
      </c>
      <c r="M199" s="3">
        <v>14</v>
      </c>
      <c r="N199" s="3">
        <v>0.2</v>
      </c>
      <c r="O199" s="3">
        <v>0.15</v>
      </c>
      <c r="P199" s="3">
        <v>0.45</v>
      </c>
      <c r="Q199" s="3">
        <v>0.04</v>
      </c>
      <c r="R199" s="3">
        <v>80</v>
      </c>
    </row>
    <row r="200" spans="1:18" ht="20" x14ac:dyDescent="0.25">
      <c r="A200" s="5" t="s">
        <v>50</v>
      </c>
      <c r="B200" s="5" t="s">
        <v>53</v>
      </c>
      <c r="C200" s="3" t="s">
        <v>32</v>
      </c>
      <c r="D200" s="3">
        <v>310</v>
      </c>
      <c r="E200" s="3">
        <v>6</v>
      </c>
      <c r="F200" s="3">
        <v>3</v>
      </c>
      <c r="G200" s="3">
        <v>0.2</v>
      </c>
      <c r="H200" s="3">
        <v>25</v>
      </c>
      <c r="I200" s="3">
        <v>150</v>
      </c>
      <c r="J200" s="3">
        <v>56</v>
      </c>
      <c r="K200" s="3">
        <v>0</v>
      </c>
      <c r="L200" s="3">
        <v>53</v>
      </c>
      <c r="M200" s="3">
        <v>10</v>
      </c>
      <c r="N200" s="3">
        <v>0.15</v>
      </c>
      <c r="O200" s="3">
        <v>0.02</v>
      </c>
      <c r="P200" s="3">
        <v>0.3</v>
      </c>
      <c r="Q200" s="3">
        <v>0.02</v>
      </c>
      <c r="R200" s="3">
        <v>120</v>
      </c>
    </row>
    <row r="201" spans="1:18" ht="20" x14ac:dyDescent="0.25">
      <c r="A201" s="5" t="s">
        <v>50</v>
      </c>
      <c r="B201" s="5" t="s">
        <v>54</v>
      </c>
      <c r="C201" s="3" t="s">
        <v>33</v>
      </c>
      <c r="D201" s="3">
        <v>310</v>
      </c>
      <c r="E201" s="3">
        <v>6</v>
      </c>
      <c r="F201" s="3">
        <v>1</v>
      </c>
      <c r="G201" s="3">
        <v>0</v>
      </c>
      <c r="H201" s="3">
        <v>0</v>
      </c>
      <c r="I201" s="3">
        <v>140</v>
      </c>
      <c r="J201" s="3">
        <v>50</v>
      </c>
      <c r="K201" s="3">
        <v>3</v>
      </c>
      <c r="L201" s="3">
        <v>46</v>
      </c>
      <c r="M201" s="3">
        <v>11</v>
      </c>
      <c r="N201" s="3">
        <v>0.15</v>
      </c>
      <c r="O201" s="3">
        <v>0.15</v>
      </c>
      <c r="P201" s="3">
        <v>0.45</v>
      </c>
      <c r="Q201" s="3">
        <v>0.25</v>
      </c>
      <c r="R201" s="3">
        <v>80</v>
      </c>
    </row>
    <row r="202" spans="1:18" ht="20" x14ac:dyDescent="0.25">
      <c r="A202" s="5" t="s">
        <v>50</v>
      </c>
      <c r="B202" s="5" t="s">
        <v>54</v>
      </c>
      <c r="C202" s="3" t="s">
        <v>35</v>
      </c>
      <c r="D202" s="3">
        <v>290</v>
      </c>
      <c r="E202" s="3">
        <v>0.5</v>
      </c>
      <c r="F202" s="3">
        <v>0.2</v>
      </c>
      <c r="G202" s="3">
        <v>0</v>
      </c>
      <c r="H202" s="3">
        <v>10</v>
      </c>
      <c r="I202" s="3">
        <v>160</v>
      </c>
      <c r="J202" s="3">
        <v>57</v>
      </c>
      <c r="K202" s="3">
        <v>1</v>
      </c>
      <c r="L202" s="3">
        <v>56</v>
      </c>
      <c r="M202" s="3">
        <v>14</v>
      </c>
      <c r="N202" s="3">
        <v>0.25</v>
      </c>
      <c r="O202" s="3">
        <v>0.15</v>
      </c>
      <c r="P202" s="3">
        <v>0.45</v>
      </c>
      <c r="Q202" s="3">
        <v>0.04</v>
      </c>
      <c r="R202" s="3">
        <v>80</v>
      </c>
    </row>
    <row r="203" spans="1:18" ht="20" x14ac:dyDescent="0.25">
      <c r="A203" s="5" t="s">
        <v>50</v>
      </c>
      <c r="B203" s="5" t="s">
        <v>53</v>
      </c>
      <c r="C203" s="3" t="s">
        <v>33</v>
      </c>
      <c r="D203" s="3">
        <v>280</v>
      </c>
      <c r="E203" s="3">
        <v>4.5</v>
      </c>
      <c r="F203" s="3">
        <v>0.5</v>
      </c>
      <c r="G203" s="3">
        <v>0</v>
      </c>
      <c r="H203" s="3">
        <v>0</v>
      </c>
      <c r="I203" s="3">
        <v>115</v>
      </c>
      <c r="J203" s="3">
        <v>51</v>
      </c>
      <c r="K203" s="3">
        <v>1</v>
      </c>
      <c r="L203" s="3">
        <v>46</v>
      </c>
      <c r="M203" s="3">
        <v>8</v>
      </c>
      <c r="N203" s="3">
        <v>0.1</v>
      </c>
      <c r="O203" s="3">
        <v>0</v>
      </c>
      <c r="P203" s="3">
        <v>0.3</v>
      </c>
      <c r="Q203" s="3">
        <v>0.15</v>
      </c>
      <c r="R203" s="3">
        <v>120</v>
      </c>
    </row>
    <row r="204" spans="1:18" ht="20" x14ac:dyDescent="0.25">
      <c r="A204" s="5" t="s">
        <v>50</v>
      </c>
      <c r="B204" s="5" t="s">
        <v>53</v>
      </c>
      <c r="C204" s="3" t="s">
        <v>36</v>
      </c>
      <c r="D204" s="3">
        <v>260</v>
      </c>
      <c r="E204" s="3">
        <v>0.3</v>
      </c>
      <c r="F204" s="3">
        <v>0.2</v>
      </c>
      <c r="G204" s="3">
        <v>0</v>
      </c>
      <c r="H204" s="3">
        <v>5</v>
      </c>
      <c r="I204" s="3">
        <v>135</v>
      </c>
      <c r="J204" s="3">
        <v>57</v>
      </c>
      <c r="K204" s="3">
        <v>0</v>
      </c>
      <c r="L204" s="3">
        <v>54</v>
      </c>
      <c r="M204" s="3">
        <v>10</v>
      </c>
      <c r="N204" s="3">
        <v>0.15</v>
      </c>
      <c r="O204" s="3">
        <v>0</v>
      </c>
      <c r="P204" s="3">
        <v>0.35</v>
      </c>
      <c r="Q204" s="3">
        <v>0.02</v>
      </c>
      <c r="R204" s="3">
        <v>120</v>
      </c>
    </row>
    <row r="205" spans="1:18" ht="20" x14ac:dyDescent="0.25">
      <c r="A205" s="5" t="s">
        <v>50</v>
      </c>
      <c r="B205" s="5" t="s">
        <v>54</v>
      </c>
      <c r="C205" s="3" t="s">
        <v>32</v>
      </c>
      <c r="D205" s="3">
        <v>260</v>
      </c>
      <c r="E205" s="3">
        <v>6</v>
      </c>
      <c r="F205" s="3">
        <v>3</v>
      </c>
      <c r="G205" s="3">
        <v>0.2</v>
      </c>
      <c r="H205" s="3">
        <v>25</v>
      </c>
      <c r="I205" s="3">
        <v>140</v>
      </c>
      <c r="J205" s="3">
        <v>41</v>
      </c>
      <c r="K205" s="3">
        <v>1</v>
      </c>
      <c r="L205" s="3">
        <v>40</v>
      </c>
      <c r="M205" s="3">
        <v>10</v>
      </c>
      <c r="N205" s="3">
        <v>0.15</v>
      </c>
      <c r="O205" s="3">
        <v>0.1</v>
      </c>
      <c r="P205" s="3">
        <v>0.35</v>
      </c>
      <c r="Q205" s="3">
        <v>0.04</v>
      </c>
      <c r="R205" s="3">
        <v>55</v>
      </c>
    </row>
    <row r="206" spans="1:18" ht="20" x14ac:dyDescent="0.25">
      <c r="A206" s="5" t="s">
        <v>50</v>
      </c>
      <c r="B206" s="5" t="s">
        <v>53</v>
      </c>
      <c r="C206" s="3" t="s">
        <v>32</v>
      </c>
      <c r="D206" s="3">
        <v>240</v>
      </c>
      <c r="E206" s="3">
        <v>4.5</v>
      </c>
      <c r="F206" s="3">
        <v>2</v>
      </c>
      <c r="G206" s="3">
        <v>0.1</v>
      </c>
      <c r="H206" s="3">
        <v>20</v>
      </c>
      <c r="I206" s="3">
        <v>115</v>
      </c>
      <c r="J206" s="3">
        <v>45</v>
      </c>
      <c r="K206" s="3">
        <v>0</v>
      </c>
      <c r="L206" s="3">
        <v>42</v>
      </c>
      <c r="M206" s="3">
        <v>8</v>
      </c>
      <c r="N206" s="3">
        <v>0.1</v>
      </c>
      <c r="O206" s="3">
        <v>0</v>
      </c>
      <c r="P206" s="3">
        <v>0.25</v>
      </c>
      <c r="Q206" s="3">
        <v>0.02</v>
      </c>
      <c r="R206" s="3">
        <v>95</v>
      </c>
    </row>
    <row r="207" spans="1:18" ht="20" x14ac:dyDescent="0.25">
      <c r="A207" s="5" t="s">
        <v>50</v>
      </c>
      <c r="B207" s="5" t="s">
        <v>54</v>
      </c>
      <c r="C207" s="3" t="s">
        <v>33</v>
      </c>
      <c r="D207" s="3">
        <v>230</v>
      </c>
      <c r="E207" s="3">
        <v>4.5</v>
      </c>
      <c r="F207" s="3">
        <v>0.5</v>
      </c>
      <c r="G207" s="3">
        <v>0</v>
      </c>
      <c r="H207" s="3">
        <v>0</v>
      </c>
      <c r="I207" s="3">
        <v>110</v>
      </c>
      <c r="J207" s="3">
        <v>36</v>
      </c>
      <c r="K207" s="3">
        <v>2</v>
      </c>
      <c r="L207" s="3">
        <v>33</v>
      </c>
      <c r="M207" s="3">
        <v>9</v>
      </c>
      <c r="N207" s="3">
        <v>0.1</v>
      </c>
      <c r="O207" s="3">
        <v>0.1</v>
      </c>
      <c r="P207" s="3">
        <v>0.35</v>
      </c>
      <c r="Q207" s="3">
        <v>0.15</v>
      </c>
      <c r="R207" s="3">
        <v>55</v>
      </c>
    </row>
    <row r="208" spans="1:18" ht="20" x14ac:dyDescent="0.25">
      <c r="A208" s="5" t="s">
        <v>50</v>
      </c>
      <c r="B208" s="5" t="s">
        <v>55</v>
      </c>
      <c r="C208" s="3" t="s">
        <v>32</v>
      </c>
      <c r="D208" s="3">
        <v>230</v>
      </c>
      <c r="E208" s="3">
        <v>5</v>
      </c>
      <c r="F208" s="3">
        <v>2.5</v>
      </c>
      <c r="G208" s="3">
        <v>0.2</v>
      </c>
      <c r="H208" s="3">
        <v>20</v>
      </c>
      <c r="I208" s="3">
        <v>125</v>
      </c>
      <c r="J208" s="3">
        <v>38</v>
      </c>
      <c r="K208" s="3">
        <v>0</v>
      </c>
      <c r="L208" s="3">
        <v>38</v>
      </c>
      <c r="M208" s="3">
        <v>9</v>
      </c>
      <c r="N208" s="3">
        <v>0.15</v>
      </c>
      <c r="O208" s="3">
        <v>0</v>
      </c>
      <c r="P208" s="3">
        <v>0.3</v>
      </c>
      <c r="Q208" s="3">
        <v>0</v>
      </c>
      <c r="R208" s="3" t="s">
        <v>56</v>
      </c>
    </row>
    <row r="209" spans="1:18" ht="40" x14ac:dyDescent="0.25">
      <c r="A209" s="5" t="s">
        <v>50</v>
      </c>
      <c r="B209" s="5" t="s">
        <v>57</v>
      </c>
      <c r="C209" s="3" t="s">
        <v>32</v>
      </c>
      <c r="D209" s="3">
        <v>230</v>
      </c>
      <c r="E209" s="3">
        <v>5</v>
      </c>
      <c r="F209" s="3">
        <v>2.5</v>
      </c>
      <c r="G209" s="3">
        <v>0.2</v>
      </c>
      <c r="H209" s="3">
        <v>20</v>
      </c>
      <c r="I209" s="3">
        <v>125</v>
      </c>
      <c r="J209" s="3">
        <v>38</v>
      </c>
      <c r="K209" s="3">
        <v>0</v>
      </c>
      <c r="L209" s="3">
        <v>38</v>
      </c>
      <c r="M209" s="3">
        <v>9</v>
      </c>
      <c r="N209" s="3">
        <v>0.15</v>
      </c>
      <c r="O209" s="3">
        <v>0</v>
      </c>
      <c r="P209" s="3">
        <v>0.3</v>
      </c>
      <c r="Q209" s="3">
        <v>0</v>
      </c>
      <c r="R209" s="3">
        <v>0</v>
      </c>
    </row>
    <row r="210" spans="1:18" ht="20" x14ac:dyDescent="0.25">
      <c r="A210" s="5" t="s">
        <v>50</v>
      </c>
      <c r="B210" s="5" t="s">
        <v>53</v>
      </c>
      <c r="C210" s="3" t="s">
        <v>33</v>
      </c>
      <c r="D210" s="3">
        <v>220</v>
      </c>
      <c r="E210" s="3">
        <v>3.5</v>
      </c>
      <c r="F210" s="3">
        <v>0.4</v>
      </c>
      <c r="G210" s="3">
        <v>0</v>
      </c>
      <c r="H210" s="3">
        <v>0</v>
      </c>
      <c r="I210" s="3">
        <v>90</v>
      </c>
      <c r="J210" s="3">
        <v>41</v>
      </c>
      <c r="K210" s="3">
        <v>1</v>
      </c>
      <c r="L210" s="3">
        <v>37</v>
      </c>
      <c r="M210" s="3">
        <v>6</v>
      </c>
      <c r="N210" s="3">
        <v>0.08</v>
      </c>
      <c r="O210" s="3">
        <v>0</v>
      </c>
      <c r="P210" s="3">
        <v>0.25</v>
      </c>
      <c r="Q210" s="3">
        <v>0.1</v>
      </c>
      <c r="R210" s="3">
        <v>95</v>
      </c>
    </row>
    <row r="211" spans="1:18" ht="20" x14ac:dyDescent="0.25">
      <c r="A211" s="5" t="s">
        <v>50</v>
      </c>
      <c r="B211" s="5" t="s">
        <v>53</v>
      </c>
      <c r="C211" s="3" t="s">
        <v>35</v>
      </c>
      <c r="D211" s="3">
        <v>210</v>
      </c>
      <c r="E211" s="3">
        <v>0.2</v>
      </c>
      <c r="F211" s="3">
        <v>0.1</v>
      </c>
      <c r="G211" s="3">
        <v>0</v>
      </c>
      <c r="H211" s="3">
        <v>5</v>
      </c>
      <c r="I211" s="3">
        <v>105</v>
      </c>
      <c r="J211" s="3">
        <v>45</v>
      </c>
      <c r="K211" s="3">
        <v>0</v>
      </c>
      <c r="L211" s="3">
        <v>43</v>
      </c>
      <c r="M211" s="3">
        <v>8</v>
      </c>
      <c r="N211" s="3">
        <v>0.15</v>
      </c>
      <c r="O211" s="3">
        <v>0</v>
      </c>
      <c r="P211" s="3">
        <v>0.25</v>
      </c>
      <c r="Q211" s="3">
        <v>0.02</v>
      </c>
      <c r="R211" s="3">
        <v>95</v>
      </c>
    </row>
    <row r="212" spans="1:18" ht="20" x14ac:dyDescent="0.25">
      <c r="A212" s="5" t="s">
        <v>50</v>
      </c>
      <c r="B212" s="5" t="s">
        <v>54</v>
      </c>
      <c r="C212" s="3" t="s">
        <v>34</v>
      </c>
      <c r="D212" s="3">
        <v>210</v>
      </c>
      <c r="E212" s="3">
        <v>0.4</v>
      </c>
      <c r="F212" s="3">
        <v>0.2</v>
      </c>
      <c r="G212" s="3">
        <v>0</v>
      </c>
      <c r="H212" s="3">
        <v>5</v>
      </c>
      <c r="I212" s="3">
        <v>125</v>
      </c>
      <c r="J212" s="3">
        <v>42</v>
      </c>
      <c r="K212" s="3">
        <v>1</v>
      </c>
      <c r="L212" s="3">
        <v>41</v>
      </c>
      <c r="M212" s="3">
        <v>11</v>
      </c>
      <c r="N212" s="3">
        <v>0.2</v>
      </c>
      <c r="O212" s="3">
        <v>0.1</v>
      </c>
      <c r="P212" s="3">
        <v>0.35</v>
      </c>
      <c r="Q212" s="3">
        <v>0.04</v>
      </c>
      <c r="R212" s="3">
        <v>55</v>
      </c>
    </row>
    <row r="213" spans="1:18" ht="20" x14ac:dyDescent="0.25">
      <c r="A213" s="5" t="s">
        <v>50</v>
      </c>
      <c r="B213" s="5" t="s">
        <v>55</v>
      </c>
      <c r="C213" s="3" t="s">
        <v>33</v>
      </c>
      <c r="D213" s="3">
        <v>210</v>
      </c>
      <c r="E213" s="3">
        <v>4</v>
      </c>
      <c r="F213" s="3">
        <v>0.5</v>
      </c>
      <c r="G213" s="3">
        <v>0</v>
      </c>
      <c r="H213" s="3">
        <v>0</v>
      </c>
      <c r="I213" s="3">
        <v>100</v>
      </c>
      <c r="J213" s="3">
        <v>34</v>
      </c>
      <c r="K213" s="3">
        <v>1</v>
      </c>
      <c r="L213" s="3">
        <v>32</v>
      </c>
      <c r="M213" s="3">
        <v>7</v>
      </c>
      <c r="N213" s="3">
        <v>0.1</v>
      </c>
      <c r="O213" s="3">
        <v>0</v>
      </c>
      <c r="P213" s="3">
        <v>0.3</v>
      </c>
      <c r="Q213" s="3">
        <v>0.15</v>
      </c>
      <c r="R213" s="3" t="s">
        <v>56</v>
      </c>
    </row>
    <row r="214" spans="1:18" ht="40" x14ac:dyDescent="0.25">
      <c r="A214" s="5" t="s">
        <v>50</v>
      </c>
      <c r="B214" s="5" t="s">
        <v>57</v>
      </c>
      <c r="C214" s="3" t="s">
        <v>33</v>
      </c>
      <c r="D214" s="3">
        <v>210</v>
      </c>
      <c r="E214" s="3">
        <v>4</v>
      </c>
      <c r="F214" s="3">
        <v>0.5</v>
      </c>
      <c r="G214" s="3">
        <v>0</v>
      </c>
      <c r="H214" s="3">
        <v>0</v>
      </c>
      <c r="I214" s="3">
        <v>100</v>
      </c>
      <c r="J214" s="3">
        <v>34</v>
      </c>
      <c r="K214" s="3">
        <v>1</v>
      </c>
      <c r="L214" s="3">
        <v>32</v>
      </c>
      <c r="M214" s="3">
        <v>7</v>
      </c>
      <c r="N214" s="3">
        <v>0.1</v>
      </c>
      <c r="O214" s="3">
        <v>0</v>
      </c>
      <c r="P214" s="3">
        <v>0.3</v>
      </c>
      <c r="Q214" s="3">
        <v>0.15</v>
      </c>
      <c r="R214" s="3">
        <v>0</v>
      </c>
    </row>
    <row r="215" spans="1:18" ht="20" x14ac:dyDescent="0.25">
      <c r="A215" s="5" t="s">
        <v>50</v>
      </c>
      <c r="B215" s="5" t="s">
        <v>53</v>
      </c>
      <c r="C215" s="3" t="s">
        <v>32</v>
      </c>
      <c r="D215" s="3">
        <v>190</v>
      </c>
      <c r="E215" s="3">
        <v>3.5</v>
      </c>
      <c r="F215" s="3">
        <v>1.5</v>
      </c>
      <c r="G215" s="3">
        <v>0.1</v>
      </c>
      <c r="H215" s="3">
        <v>15</v>
      </c>
      <c r="I215" s="3">
        <v>90</v>
      </c>
      <c r="J215" s="3">
        <v>34</v>
      </c>
      <c r="K215" s="3">
        <v>0</v>
      </c>
      <c r="L215" s="3">
        <v>32</v>
      </c>
      <c r="M215" s="3">
        <v>6</v>
      </c>
      <c r="N215" s="3">
        <v>0.1</v>
      </c>
      <c r="O215" s="3">
        <v>0</v>
      </c>
      <c r="P215" s="3">
        <v>0.2</v>
      </c>
      <c r="Q215" s="3">
        <v>0.02</v>
      </c>
      <c r="R215" s="3">
        <v>70</v>
      </c>
    </row>
    <row r="216" spans="1:18" ht="20" x14ac:dyDescent="0.25">
      <c r="A216" s="5" t="s">
        <v>50</v>
      </c>
      <c r="B216" s="5" t="s">
        <v>55</v>
      </c>
      <c r="C216" s="3" t="s">
        <v>32</v>
      </c>
      <c r="D216" s="3">
        <v>190</v>
      </c>
      <c r="E216" s="3">
        <v>4</v>
      </c>
      <c r="F216" s="3">
        <v>2</v>
      </c>
      <c r="G216" s="3">
        <v>0.1</v>
      </c>
      <c r="H216" s="3">
        <v>15</v>
      </c>
      <c r="I216" s="3">
        <v>95</v>
      </c>
      <c r="J216" s="3">
        <v>31</v>
      </c>
      <c r="K216" s="3">
        <v>0</v>
      </c>
      <c r="L216" s="3">
        <v>30</v>
      </c>
      <c r="M216" s="3">
        <v>7</v>
      </c>
      <c r="N216" s="3">
        <v>0.1</v>
      </c>
      <c r="O216" s="3">
        <v>0</v>
      </c>
      <c r="P216" s="3">
        <v>0.25</v>
      </c>
      <c r="Q216" s="3">
        <v>0</v>
      </c>
      <c r="R216" s="3" t="s">
        <v>56</v>
      </c>
    </row>
    <row r="217" spans="1:18" ht="20" x14ac:dyDescent="0.25">
      <c r="A217" s="5" t="s">
        <v>50</v>
      </c>
      <c r="B217" s="5" t="s">
        <v>55</v>
      </c>
      <c r="C217" s="3" t="s">
        <v>36</v>
      </c>
      <c r="D217" s="3">
        <v>190</v>
      </c>
      <c r="E217" s="3">
        <v>0.2</v>
      </c>
      <c r="F217" s="3">
        <v>0.1</v>
      </c>
      <c r="G217" s="3">
        <v>0</v>
      </c>
      <c r="H217" s="3">
        <v>5</v>
      </c>
      <c r="I217" s="3">
        <v>110</v>
      </c>
      <c r="J217" s="3">
        <v>39</v>
      </c>
      <c r="K217" s="3">
        <v>0</v>
      </c>
      <c r="L217" s="3">
        <v>39</v>
      </c>
      <c r="M217" s="3">
        <v>9</v>
      </c>
      <c r="N217" s="3">
        <v>0.15</v>
      </c>
      <c r="O217" s="3">
        <v>0</v>
      </c>
      <c r="P217" s="3">
        <v>0.3</v>
      </c>
      <c r="Q217" s="3">
        <v>0</v>
      </c>
      <c r="R217" s="3" t="s">
        <v>56</v>
      </c>
    </row>
    <row r="218" spans="1:18" ht="40" x14ac:dyDescent="0.25">
      <c r="A218" s="5" t="s">
        <v>50</v>
      </c>
      <c r="B218" s="5" t="s">
        <v>57</v>
      </c>
      <c r="C218" s="3" t="s">
        <v>32</v>
      </c>
      <c r="D218" s="3">
        <v>190</v>
      </c>
      <c r="E218" s="3">
        <v>4</v>
      </c>
      <c r="F218" s="3">
        <v>2</v>
      </c>
      <c r="G218" s="3">
        <v>0.1</v>
      </c>
      <c r="H218" s="3">
        <v>15</v>
      </c>
      <c r="I218" s="3">
        <v>95</v>
      </c>
      <c r="J218" s="3">
        <v>31</v>
      </c>
      <c r="K218" s="3">
        <v>0</v>
      </c>
      <c r="L218" s="3">
        <v>30</v>
      </c>
      <c r="M218" s="3">
        <v>7</v>
      </c>
      <c r="N218" s="3">
        <v>0.1</v>
      </c>
      <c r="O218" s="3">
        <v>0</v>
      </c>
      <c r="P218" s="3">
        <v>0.25</v>
      </c>
      <c r="Q218" s="3">
        <v>0</v>
      </c>
      <c r="R218" s="3">
        <v>0</v>
      </c>
    </row>
    <row r="219" spans="1:18" ht="40" x14ac:dyDescent="0.25">
      <c r="A219" s="5" t="s">
        <v>50</v>
      </c>
      <c r="B219" s="5" t="s">
        <v>57</v>
      </c>
      <c r="C219" s="3" t="s">
        <v>36</v>
      </c>
      <c r="D219" s="3">
        <v>190</v>
      </c>
      <c r="E219" s="3">
        <v>0.2</v>
      </c>
      <c r="F219" s="3">
        <v>0.1</v>
      </c>
      <c r="G219" s="3">
        <v>0</v>
      </c>
      <c r="H219" s="3">
        <v>5</v>
      </c>
      <c r="I219" s="3">
        <v>110</v>
      </c>
      <c r="J219" s="3">
        <v>39</v>
      </c>
      <c r="K219" s="3">
        <v>0</v>
      </c>
      <c r="L219" s="3">
        <v>39</v>
      </c>
      <c r="M219" s="3">
        <v>9</v>
      </c>
      <c r="N219" s="3">
        <v>0.15</v>
      </c>
      <c r="O219" s="3">
        <v>0</v>
      </c>
      <c r="P219" s="3">
        <v>0.3</v>
      </c>
      <c r="Q219" s="3">
        <v>0</v>
      </c>
      <c r="R219" s="3">
        <v>0</v>
      </c>
    </row>
    <row r="220" spans="1:18" ht="20" x14ac:dyDescent="0.25">
      <c r="A220" s="5" t="s">
        <v>50</v>
      </c>
      <c r="B220" s="5" t="s">
        <v>54</v>
      </c>
      <c r="C220" s="3" t="s">
        <v>32</v>
      </c>
      <c r="D220" s="3">
        <v>170</v>
      </c>
      <c r="E220" s="3">
        <v>4</v>
      </c>
      <c r="F220" s="3">
        <v>2</v>
      </c>
      <c r="G220" s="3">
        <v>0.1</v>
      </c>
      <c r="H220" s="3">
        <v>15</v>
      </c>
      <c r="I220" s="3">
        <v>95</v>
      </c>
      <c r="J220" s="3">
        <v>26</v>
      </c>
      <c r="K220" s="3">
        <v>0</v>
      </c>
      <c r="L220" s="3">
        <v>25</v>
      </c>
      <c r="M220" s="3">
        <v>7</v>
      </c>
      <c r="N220" s="3">
        <v>0.1</v>
      </c>
      <c r="O220" s="3">
        <v>0.06</v>
      </c>
      <c r="P220" s="3">
        <v>0.2</v>
      </c>
      <c r="Q220" s="3">
        <v>0.02</v>
      </c>
      <c r="R220" s="3">
        <v>25</v>
      </c>
    </row>
    <row r="221" spans="1:18" ht="20" x14ac:dyDescent="0.25">
      <c r="A221" s="5" t="s">
        <v>50</v>
      </c>
      <c r="B221" s="5" t="s">
        <v>55</v>
      </c>
      <c r="C221" s="3" t="s">
        <v>33</v>
      </c>
      <c r="D221" s="3">
        <v>170</v>
      </c>
      <c r="E221" s="3">
        <v>3.5</v>
      </c>
      <c r="F221" s="3">
        <v>0.4</v>
      </c>
      <c r="G221" s="3">
        <v>0</v>
      </c>
      <c r="H221" s="3">
        <v>0</v>
      </c>
      <c r="I221" s="3">
        <v>80</v>
      </c>
      <c r="J221" s="3">
        <v>27</v>
      </c>
      <c r="K221" s="3">
        <v>1</v>
      </c>
      <c r="L221" s="3">
        <v>25</v>
      </c>
      <c r="M221" s="3">
        <v>6</v>
      </c>
      <c r="N221" s="3">
        <v>0.08</v>
      </c>
      <c r="O221" s="3">
        <v>0</v>
      </c>
      <c r="P221" s="3">
        <v>0.25</v>
      </c>
      <c r="Q221" s="3">
        <v>0.1</v>
      </c>
      <c r="R221" s="3" t="s">
        <v>56</v>
      </c>
    </row>
    <row r="222" spans="1:18" ht="40" x14ac:dyDescent="0.25">
      <c r="A222" s="5" t="s">
        <v>50</v>
      </c>
      <c r="B222" s="5" t="s">
        <v>57</v>
      </c>
      <c r="C222" s="3" t="s">
        <v>33</v>
      </c>
      <c r="D222" s="3">
        <v>170</v>
      </c>
      <c r="E222" s="3">
        <v>3.5</v>
      </c>
      <c r="F222" s="3">
        <v>0.4</v>
      </c>
      <c r="G222" s="3">
        <v>0</v>
      </c>
      <c r="H222" s="3">
        <v>0</v>
      </c>
      <c r="I222" s="3">
        <v>80</v>
      </c>
      <c r="J222" s="3">
        <v>27</v>
      </c>
      <c r="K222" s="3">
        <v>1</v>
      </c>
      <c r="L222" s="3">
        <v>25</v>
      </c>
      <c r="M222" s="3">
        <v>6</v>
      </c>
      <c r="N222" s="3">
        <v>0.08</v>
      </c>
      <c r="O222" s="3">
        <v>0</v>
      </c>
      <c r="P222" s="3">
        <v>0.25</v>
      </c>
      <c r="Q222" s="3">
        <v>0.1</v>
      </c>
      <c r="R222" s="3">
        <v>0</v>
      </c>
    </row>
    <row r="223" spans="1:18" ht="20" x14ac:dyDescent="0.25">
      <c r="A223" s="5" t="s">
        <v>50</v>
      </c>
      <c r="B223" s="5" t="s">
        <v>53</v>
      </c>
      <c r="C223" s="3" t="s">
        <v>34</v>
      </c>
      <c r="D223" s="3">
        <v>160</v>
      </c>
      <c r="E223" s="3">
        <v>0.2</v>
      </c>
      <c r="F223" s="3">
        <v>0.1</v>
      </c>
      <c r="G223" s="3">
        <v>0</v>
      </c>
      <c r="H223" s="3">
        <v>5</v>
      </c>
      <c r="I223" s="3">
        <v>80</v>
      </c>
      <c r="J223" s="3">
        <v>34</v>
      </c>
      <c r="K223" s="3">
        <v>0</v>
      </c>
      <c r="L223" s="3">
        <v>32</v>
      </c>
      <c r="M223" s="3">
        <v>6</v>
      </c>
      <c r="N223" s="3">
        <v>0.1</v>
      </c>
      <c r="O223" s="3">
        <v>0</v>
      </c>
      <c r="P223" s="3">
        <v>0.2</v>
      </c>
      <c r="Q223" s="3">
        <v>0.02</v>
      </c>
      <c r="R223" s="3">
        <v>70</v>
      </c>
    </row>
    <row r="224" spans="1:18" ht="20" x14ac:dyDescent="0.25">
      <c r="A224" s="5" t="s">
        <v>50</v>
      </c>
      <c r="B224" s="5" t="s">
        <v>53</v>
      </c>
      <c r="C224" s="3" t="s">
        <v>33</v>
      </c>
      <c r="D224" s="3">
        <v>160</v>
      </c>
      <c r="E224" s="3">
        <v>2.5</v>
      </c>
      <c r="F224" s="3">
        <v>0.3</v>
      </c>
      <c r="G224" s="3">
        <v>0</v>
      </c>
      <c r="H224" s="3">
        <v>0</v>
      </c>
      <c r="I224" s="3">
        <v>70</v>
      </c>
      <c r="J224" s="3">
        <v>31</v>
      </c>
      <c r="K224" s="3">
        <v>1</v>
      </c>
      <c r="L224" s="3">
        <v>28</v>
      </c>
      <c r="M224" s="3">
        <v>5</v>
      </c>
      <c r="N224" s="3">
        <v>0.06</v>
      </c>
      <c r="O224" s="3">
        <v>0</v>
      </c>
      <c r="P224" s="3">
        <v>0.2</v>
      </c>
      <c r="Q224" s="3">
        <v>0.1</v>
      </c>
      <c r="R224" s="3">
        <v>70</v>
      </c>
    </row>
    <row r="225" spans="1:18" ht="20" x14ac:dyDescent="0.25">
      <c r="A225" s="5" t="s">
        <v>50</v>
      </c>
      <c r="B225" s="5" t="s">
        <v>55</v>
      </c>
      <c r="C225" s="3" t="s">
        <v>35</v>
      </c>
      <c r="D225" s="3">
        <v>150</v>
      </c>
      <c r="E225" s="3">
        <v>0.2</v>
      </c>
      <c r="F225" s="3">
        <v>0.1</v>
      </c>
      <c r="G225" s="3">
        <v>0</v>
      </c>
      <c r="H225" s="3">
        <v>5</v>
      </c>
      <c r="I225" s="3">
        <v>85</v>
      </c>
      <c r="J225" s="3">
        <v>31</v>
      </c>
      <c r="K225" s="3">
        <v>0</v>
      </c>
      <c r="L225" s="3">
        <v>31</v>
      </c>
      <c r="M225" s="3">
        <v>7</v>
      </c>
      <c r="N225" s="3">
        <v>0.15</v>
      </c>
      <c r="O225" s="3">
        <v>0</v>
      </c>
      <c r="P225" s="3">
        <v>0.25</v>
      </c>
      <c r="Q225" s="3">
        <v>0</v>
      </c>
      <c r="R225" s="3" t="s">
        <v>56</v>
      </c>
    </row>
    <row r="226" spans="1:18" ht="40" x14ac:dyDescent="0.25">
      <c r="A226" s="5" t="s">
        <v>50</v>
      </c>
      <c r="B226" s="5" t="s">
        <v>57</v>
      </c>
      <c r="C226" s="3" t="s">
        <v>35</v>
      </c>
      <c r="D226" s="3">
        <v>150</v>
      </c>
      <c r="E226" s="3">
        <v>0.2</v>
      </c>
      <c r="F226" s="3">
        <v>0.1</v>
      </c>
      <c r="G226" s="3">
        <v>0</v>
      </c>
      <c r="H226" s="3">
        <v>5</v>
      </c>
      <c r="I226" s="3">
        <v>85</v>
      </c>
      <c r="J226" s="3">
        <v>31</v>
      </c>
      <c r="K226" s="3">
        <v>0</v>
      </c>
      <c r="L226" s="3">
        <v>31</v>
      </c>
      <c r="M226" s="3">
        <v>7</v>
      </c>
      <c r="N226" s="3">
        <v>0.15</v>
      </c>
      <c r="O226" s="3">
        <v>0</v>
      </c>
      <c r="P226" s="3">
        <v>0.25</v>
      </c>
      <c r="Q226" s="3">
        <v>0</v>
      </c>
      <c r="R226" s="3">
        <v>0</v>
      </c>
    </row>
    <row r="227" spans="1:18" ht="20" x14ac:dyDescent="0.25">
      <c r="A227" s="5" t="s">
        <v>50</v>
      </c>
      <c r="B227" s="5" t="s">
        <v>54</v>
      </c>
      <c r="C227" s="3" t="s">
        <v>33</v>
      </c>
      <c r="D227" s="3">
        <v>140</v>
      </c>
      <c r="E227" s="3">
        <v>3</v>
      </c>
      <c r="F227" s="3">
        <v>0.4</v>
      </c>
      <c r="G227" s="3">
        <v>0</v>
      </c>
      <c r="H227" s="3">
        <v>0</v>
      </c>
      <c r="I227" s="3">
        <v>70</v>
      </c>
      <c r="J227" s="3">
        <v>22</v>
      </c>
      <c r="K227" s="3">
        <v>1</v>
      </c>
      <c r="L227" s="3">
        <v>20</v>
      </c>
      <c r="M227" s="3">
        <v>6</v>
      </c>
      <c r="N227" s="3">
        <v>0.08</v>
      </c>
      <c r="O227" s="3">
        <v>0.04</v>
      </c>
      <c r="P227" s="3">
        <v>0.2</v>
      </c>
      <c r="Q227" s="3">
        <v>0.1</v>
      </c>
      <c r="R227" s="3">
        <v>25</v>
      </c>
    </row>
    <row r="228" spans="1:18" ht="20" x14ac:dyDescent="0.25">
      <c r="A228" s="5" t="s">
        <v>50</v>
      </c>
      <c r="B228" s="5" t="s">
        <v>55</v>
      </c>
      <c r="C228" s="3" t="s">
        <v>32</v>
      </c>
      <c r="D228" s="3">
        <v>140</v>
      </c>
      <c r="E228" s="3">
        <v>3</v>
      </c>
      <c r="F228" s="3">
        <v>1.5</v>
      </c>
      <c r="G228" s="3">
        <v>0.1</v>
      </c>
      <c r="H228" s="3">
        <v>15</v>
      </c>
      <c r="I228" s="3">
        <v>75</v>
      </c>
      <c r="J228" s="3">
        <v>23</v>
      </c>
      <c r="K228" s="3">
        <v>0</v>
      </c>
      <c r="L228" s="3">
        <v>23</v>
      </c>
      <c r="M228" s="3">
        <v>5</v>
      </c>
      <c r="N228" s="3">
        <v>0.08</v>
      </c>
      <c r="O228" s="3">
        <v>0</v>
      </c>
      <c r="P228" s="3">
        <v>0.15</v>
      </c>
      <c r="Q228" s="3">
        <v>0</v>
      </c>
      <c r="R228" s="3" t="s">
        <v>56</v>
      </c>
    </row>
    <row r="229" spans="1:18" ht="40" x14ac:dyDescent="0.25">
      <c r="A229" s="5" t="s">
        <v>50</v>
      </c>
      <c r="B229" s="5" t="s">
        <v>57</v>
      </c>
      <c r="C229" s="3" t="s">
        <v>32</v>
      </c>
      <c r="D229" s="3">
        <v>140</v>
      </c>
      <c r="E229" s="3">
        <v>3</v>
      </c>
      <c r="F229" s="3">
        <v>1.5</v>
      </c>
      <c r="G229" s="3">
        <v>0.1</v>
      </c>
      <c r="H229" s="3">
        <v>15</v>
      </c>
      <c r="I229" s="3">
        <v>75</v>
      </c>
      <c r="J229" s="3">
        <v>23</v>
      </c>
      <c r="K229" s="3">
        <v>0</v>
      </c>
      <c r="L229" s="3">
        <v>23</v>
      </c>
      <c r="M229" s="3">
        <v>5</v>
      </c>
      <c r="N229" s="3">
        <v>0.08</v>
      </c>
      <c r="O229" s="3">
        <v>0</v>
      </c>
      <c r="P229" s="3">
        <v>0.15</v>
      </c>
      <c r="Q229" s="3">
        <v>0</v>
      </c>
      <c r="R229" s="3">
        <v>0</v>
      </c>
    </row>
    <row r="230" spans="1:18" ht="20" x14ac:dyDescent="0.25">
      <c r="A230" s="5" t="s">
        <v>50</v>
      </c>
      <c r="B230" s="5" t="s">
        <v>54</v>
      </c>
      <c r="C230" s="3" t="s">
        <v>31</v>
      </c>
      <c r="D230" s="3">
        <v>130</v>
      </c>
      <c r="E230" s="3">
        <v>0.2</v>
      </c>
      <c r="F230" s="3">
        <v>0.1</v>
      </c>
      <c r="G230" s="3">
        <v>0</v>
      </c>
      <c r="H230" s="3">
        <v>5</v>
      </c>
      <c r="I230" s="3">
        <v>85</v>
      </c>
      <c r="J230" s="3">
        <v>26</v>
      </c>
      <c r="K230" s="3">
        <v>0</v>
      </c>
      <c r="L230" s="3">
        <v>25</v>
      </c>
      <c r="M230" s="3">
        <v>7</v>
      </c>
      <c r="N230" s="3">
        <v>0.1</v>
      </c>
      <c r="O230" s="3">
        <v>0.04</v>
      </c>
      <c r="P230" s="3">
        <v>0.2</v>
      </c>
      <c r="Q230" s="3">
        <v>0.02</v>
      </c>
      <c r="R230" s="3">
        <v>25</v>
      </c>
    </row>
    <row r="231" spans="1:18" ht="20" x14ac:dyDescent="0.25">
      <c r="A231" s="5" t="s">
        <v>50</v>
      </c>
      <c r="B231" s="5" t="s">
        <v>55</v>
      </c>
      <c r="C231" s="3" t="s">
        <v>33</v>
      </c>
      <c r="D231" s="3">
        <v>130</v>
      </c>
      <c r="E231" s="3">
        <v>2.5</v>
      </c>
      <c r="F231" s="3">
        <v>0.3</v>
      </c>
      <c r="G231" s="3">
        <v>0</v>
      </c>
      <c r="H231" s="3">
        <v>0</v>
      </c>
      <c r="I231" s="3">
        <v>60</v>
      </c>
      <c r="J231" s="3">
        <v>21</v>
      </c>
      <c r="K231" s="3">
        <v>1</v>
      </c>
      <c r="L231" s="3">
        <v>19</v>
      </c>
      <c r="M231" s="3">
        <v>4</v>
      </c>
      <c r="N231" s="3">
        <v>0.06</v>
      </c>
      <c r="O231" s="3">
        <v>0</v>
      </c>
      <c r="P231" s="3">
        <v>0.2</v>
      </c>
      <c r="Q231" s="3">
        <v>0.08</v>
      </c>
      <c r="R231" s="3" t="s">
        <v>56</v>
      </c>
    </row>
    <row r="232" spans="1:18" ht="40" x14ac:dyDescent="0.25">
      <c r="A232" s="5" t="s">
        <v>50</v>
      </c>
      <c r="B232" s="5" t="s">
        <v>57</v>
      </c>
      <c r="C232" s="3" t="s">
        <v>33</v>
      </c>
      <c r="D232" s="3">
        <v>130</v>
      </c>
      <c r="E232" s="3">
        <v>2.5</v>
      </c>
      <c r="F232" s="3">
        <v>0.3</v>
      </c>
      <c r="G232" s="3">
        <v>0</v>
      </c>
      <c r="H232" s="3">
        <v>0</v>
      </c>
      <c r="I232" s="3">
        <v>60</v>
      </c>
      <c r="J232" s="3">
        <v>21</v>
      </c>
      <c r="K232" s="3">
        <v>1</v>
      </c>
      <c r="L232" s="3">
        <v>19</v>
      </c>
      <c r="M232" s="3">
        <v>4</v>
      </c>
      <c r="N232" s="3">
        <v>0.06</v>
      </c>
      <c r="O232" s="3">
        <v>0</v>
      </c>
      <c r="P232" s="3">
        <v>0.2</v>
      </c>
      <c r="Q232" s="3">
        <v>0.08</v>
      </c>
      <c r="R232" s="3">
        <v>0</v>
      </c>
    </row>
    <row r="233" spans="1:18" ht="20" x14ac:dyDescent="0.25">
      <c r="A233" s="5" t="s">
        <v>50</v>
      </c>
      <c r="B233" s="5" t="s">
        <v>53</v>
      </c>
      <c r="C233" s="3" t="s">
        <v>32</v>
      </c>
      <c r="D233" s="3">
        <v>120</v>
      </c>
      <c r="E233" s="3">
        <v>2</v>
      </c>
      <c r="F233" s="3">
        <v>1</v>
      </c>
      <c r="G233" s="3">
        <v>0.1</v>
      </c>
      <c r="H233" s="3">
        <v>10</v>
      </c>
      <c r="I233" s="3">
        <v>55</v>
      </c>
      <c r="J233" s="3">
        <v>22</v>
      </c>
      <c r="K233" s="3">
        <v>0</v>
      </c>
      <c r="L233" s="3">
        <v>21</v>
      </c>
      <c r="M233" s="3">
        <v>4</v>
      </c>
      <c r="N233" s="3">
        <v>0.06</v>
      </c>
      <c r="O233" s="3">
        <v>0</v>
      </c>
      <c r="P233" s="3">
        <v>0.1</v>
      </c>
      <c r="Q233" s="3">
        <v>0</v>
      </c>
      <c r="R233" s="3">
        <v>50</v>
      </c>
    </row>
    <row r="234" spans="1:18" ht="20" x14ac:dyDescent="0.25">
      <c r="A234" s="5" t="s">
        <v>50</v>
      </c>
      <c r="B234" s="5" t="s">
        <v>55</v>
      </c>
      <c r="C234" s="3" t="s">
        <v>34</v>
      </c>
      <c r="D234" s="3">
        <v>120</v>
      </c>
      <c r="E234" s="3">
        <v>0.1</v>
      </c>
      <c r="F234" s="3">
        <v>0.1</v>
      </c>
      <c r="G234" s="3">
        <v>0</v>
      </c>
      <c r="H234" s="3">
        <v>5</v>
      </c>
      <c r="I234" s="3">
        <v>65</v>
      </c>
      <c r="J234" s="3">
        <v>23</v>
      </c>
      <c r="K234" s="3">
        <v>0</v>
      </c>
      <c r="L234" s="3">
        <v>23</v>
      </c>
      <c r="M234" s="3">
        <v>5</v>
      </c>
      <c r="N234" s="3">
        <v>0.1</v>
      </c>
      <c r="O234" s="3">
        <v>0</v>
      </c>
      <c r="P234" s="3">
        <v>0.2</v>
      </c>
      <c r="Q234" s="3">
        <v>0</v>
      </c>
      <c r="R234" s="3" t="s">
        <v>56</v>
      </c>
    </row>
    <row r="235" spans="1:18" ht="40" x14ac:dyDescent="0.25">
      <c r="A235" s="5" t="s">
        <v>50</v>
      </c>
      <c r="B235" s="5" t="s">
        <v>57</v>
      </c>
      <c r="C235" s="3" t="s">
        <v>34</v>
      </c>
      <c r="D235" s="3">
        <v>120</v>
      </c>
      <c r="E235" s="3">
        <v>0.1</v>
      </c>
      <c r="F235" s="3">
        <v>0.1</v>
      </c>
      <c r="G235" s="3">
        <v>0</v>
      </c>
      <c r="H235" s="3">
        <v>5</v>
      </c>
      <c r="I235" s="3">
        <v>65</v>
      </c>
      <c r="J235" s="3">
        <v>23</v>
      </c>
      <c r="K235" s="3">
        <v>0</v>
      </c>
      <c r="L235" s="3">
        <v>23</v>
      </c>
      <c r="M235" s="3">
        <v>5</v>
      </c>
      <c r="N235" s="3">
        <v>0.1</v>
      </c>
      <c r="O235" s="3">
        <v>0</v>
      </c>
      <c r="P235" s="3">
        <v>0.2</v>
      </c>
      <c r="Q235" s="3">
        <v>0</v>
      </c>
      <c r="R235" s="3">
        <v>0</v>
      </c>
    </row>
    <row r="236" spans="1:18" ht="20" x14ac:dyDescent="0.25">
      <c r="A236" s="5" t="s">
        <v>50</v>
      </c>
      <c r="B236" s="5" t="s">
        <v>53</v>
      </c>
      <c r="C236" s="3" t="s">
        <v>33</v>
      </c>
      <c r="D236" s="3">
        <v>110</v>
      </c>
      <c r="E236" s="3">
        <v>1.5</v>
      </c>
      <c r="F236" s="3">
        <v>0.2</v>
      </c>
      <c r="G236" s="3">
        <v>0</v>
      </c>
      <c r="H236" s="3">
        <v>0</v>
      </c>
      <c r="I236" s="3">
        <v>45</v>
      </c>
      <c r="J236" s="3">
        <v>20</v>
      </c>
      <c r="K236" s="3">
        <v>0</v>
      </c>
      <c r="L236" s="3">
        <v>18</v>
      </c>
      <c r="M236" s="3">
        <v>3</v>
      </c>
      <c r="N236" s="3">
        <v>0.04</v>
      </c>
      <c r="O236" s="3">
        <v>0</v>
      </c>
      <c r="P236" s="3">
        <v>0.1</v>
      </c>
      <c r="Q236" s="3">
        <v>0.06</v>
      </c>
      <c r="R236" s="3">
        <v>50</v>
      </c>
    </row>
    <row r="237" spans="1:18" ht="20" x14ac:dyDescent="0.25">
      <c r="A237" s="5" t="s">
        <v>50</v>
      </c>
      <c r="B237" s="5" t="s">
        <v>53</v>
      </c>
      <c r="C237" s="3" t="s">
        <v>31</v>
      </c>
      <c r="D237" s="3">
        <v>100</v>
      </c>
      <c r="E237" s="3">
        <v>0.1</v>
      </c>
      <c r="F237" s="3">
        <v>0.1</v>
      </c>
      <c r="G237" s="3">
        <v>0</v>
      </c>
      <c r="H237" s="3">
        <v>0</v>
      </c>
      <c r="I237" s="3">
        <v>50</v>
      </c>
      <c r="J237" s="3">
        <v>22</v>
      </c>
      <c r="K237" s="3">
        <v>0</v>
      </c>
      <c r="L237" s="3">
        <v>21</v>
      </c>
      <c r="M237" s="3">
        <v>4</v>
      </c>
      <c r="N237" s="3">
        <v>0.06</v>
      </c>
      <c r="O237" s="3">
        <v>0</v>
      </c>
      <c r="P237" s="3">
        <v>0.1</v>
      </c>
      <c r="Q237" s="3">
        <v>0</v>
      </c>
      <c r="R237" s="3">
        <v>50</v>
      </c>
    </row>
    <row r="238" spans="1:18" ht="20" x14ac:dyDescent="0.25">
      <c r="A238" s="5" t="s">
        <v>50</v>
      </c>
      <c r="B238" s="5" t="s">
        <v>55</v>
      </c>
      <c r="C238" s="3" t="s">
        <v>32</v>
      </c>
      <c r="D238" s="3">
        <v>90</v>
      </c>
      <c r="E238" s="3">
        <v>2</v>
      </c>
      <c r="F238" s="3">
        <v>1</v>
      </c>
      <c r="G238" s="3">
        <v>0.1</v>
      </c>
      <c r="H238" s="3">
        <v>10</v>
      </c>
      <c r="I238" s="3">
        <v>50</v>
      </c>
      <c r="J238" s="3">
        <v>15</v>
      </c>
      <c r="K238" s="3">
        <v>0</v>
      </c>
      <c r="L238" s="3">
        <v>15</v>
      </c>
      <c r="M238" s="3">
        <v>3</v>
      </c>
      <c r="N238" s="3">
        <v>0.06</v>
      </c>
      <c r="O238" s="3">
        <v>0</v>
      </c>
      <c r="P238" s="3">
        <v>0.1</v>
      </c>
      <c r="Q238" s="3">
        <v>0</v>
      </c>
      <c r="R238" s="3" t="s">
        <v>56</v>
      </c>
    </row>
    <row r="239" spans="1:18" ht="40" x14ac:dyDescent="0.25">
      <c r="A239" s="5" t="s">
        <v>50</v>
      </c>
      <c r="B239" s="5" t="s">
        <v>57</v>
      </c>
      <c r="C239" s="3" t="s">
        <v>32</v>
      </c>
      <c r="D239" s="3">
        <v>90</v>
      </c>
      <c r="E239" s="3">
        <v>2</v>
      </c>
      <c r="F239" s="3">
        <v>1</v>
      </c>
      <c r="G239" s="3">
        <v>0.1</v>
      </c>
      <c r="H239" s="3">
        <v>10</v>
      </c>
      <c r="I239" s="3">
        <v>50</v>
      </c>
      <c r="J239" s="3">
        <v>15</v>
      </c>
      <c r="K239" s="3">
        <v>0</v>
      </c>
      <c r="L239" s="3">
        <v>15</v>
      </c>
      <c r="M239" s="3">
        <v>3</v>
      </c>
      <c r="N239" s="3">
        <v>0.06</v>
      </c>
      <c r="O239" s="3">
        <v>0</v>
      </c>
      <c r="P239" s="3">
        <v>0.1</v>
      </c>
      <c r="Q239" s="3">
        <v>0</v>
      </c>
      <c r="R239" s="3">
        <v>0</v>
      </c>
    </row>
    <row r="240" spans="1:18" ht="20" x14ac:dyDescent="0.25">
      <c r="A240" s="5" t="s">
        <v>50</v>
      </c>
      <c r="B240" s="5" t="s">
        <v>55</v>
      </c>
      <c r="C240" s="3" t="s">
        <v>31</v>
      </c>
      <c r="D240" s="3">
        <v>80</v>
      </c>
      <c r="E240" s="3">
        <v>0.1</v>
      </c>
      <c r="F240" s="3">
        <v>0.1</v>
      </c>
      <c r="G240" s="3">
        <v>0</v>
      </c>
      <c r="H240" s="3">
        <v>0</v>
      </c>
      <c r="I240" s="3">
        <v>45</v>
      </c>
      <c r="J240" s="3">
        <v>16</v>
      </c>
      <c r="K240" s="3">
        <v>0</v>
      </c>
      <c r="L240" s="3">
        <v>16</v>
      </c>
      <c r="M240" s="3">
        <v>4</v>
      </c>
      <c r="N240" s="3">
        <v>0.06</v>
      </c>
      <c r="O240" s="3">
        <v>0</v>
      </c>
      <c r="P240" s="3">
        <v>0.1</v>
      </c>
      <c r="Q240" s="3">
        <v>0</v>
      </c>
      <c r="R240" s="3" t="s">
        <v>56</v>
      </c>
    </row>
    <row r="241" spans="1:18" ht="20" x14ac:dyDescent="0.25">
      <c r="A241" s="5" t="s">
        <v>50</v>
      </c>
      <c r="B241" s="5" t="s">
        <v>55</v>
      </c>
      <c r="C241" s="3" t="s">
        <v>33</v>
      </c>
      <c r="D241" s="3">
        <v>80</v>
      </c>
      <c r="E241" s="3">
        <v>1.5</v>
      </c>
      <c r="F241" s="3">
        <v>0.2</v>
      </c>
      <c r="G241" s="3">
        <v>0</v>
      </c>
      <c r="H241" s="3">
        <v>0</v>
      </c>
      <c r="I241" s="3">
        <v>40</v>
      </c>
      <c r="J241" s="3">
        <v>14</v>
      </c>
      <c r="K241" s="3">
        <v>0</v>
      </c>
      <c r="L241" s="3">
        <v>13</v>
      </c>
      <c r="M241" s="3">
        <v>3</v>
      </c>
      <c r="N241" s="3">
        <v>0.04</v>
      </c>
      <c r="O241" s="3">
        <v>0</v>
      </c>
      <c r="P241" s="3">
        <v>0.1</v>
      </c>
      <c r="Q241" s="3">
        <v>0.06</v>
      </c>
      <c r="R241" s="3" t="s">
        <v>56</v>
      </c>
    </row>
    <row r="242" spans="1:18" ht="40" x14ac:dyDescent="0.25">
      <c r="A242" s="5" t="s">
        <v>50</v>
      </c>
      <c r="B242" s="5" t="s">
        <v>57</v>
      </c>
      <c r="C242" s="3" t="s">
        <v>31</v>
      </c>
      <c r="D242" s="3">
        <v>80</v>
      </c>
      <c r="E242" s="3">
        <v>0.1</v>
      </c>
      <c r="F242" s="3">
        <v>0.1</v>
      </c>
      <c r="G242" s="3">
        <v>0</v>
      </c>
      <c r="H242" s="3">
        <v>0</v>
      </c>
      <c r="I242" s="3">
        <v>45</v>
      </c>
      <c r="J242" s="3">
        <v>16</v>
      </c>
      <c r="K242" s="3">
        <v>0</v>
      </c>
      <c r="L242" s="3">
        <v>16</v>
      </c>
      <c r="M242" s="3">
        <v>4</v>
      </c>
      <c r="N242" s="3">
        <v>0.06</v>
      </c>
      <c r="O242" s="3">
        <v>0</v>
      </c>
      <c r="P242" s="3">
        <v>0.1</v>
      </c>
      <c r="Q242" s="3">
        <v>0</v>
      </c>
      <c r="R242" s="3">
        <v>0</v>
      </c>
    </row>
    <row r="243" spans="1:18" ht="40" x14ac:dyDescent="0.25">
      <c r="A243" s="5" t="s">
        <v>50</v>
      </c>
      <c r="B243" s="5" t="s">
        <v>57</v>
      </c>
      <c r="C243" s="3" t="s">
        <v>33</v>
      </c>
      <c r="D243" s="3">
        <v>80</v>
      </c>
      <c r="E243" s="3">
        <v>1.5</v>
      </c>
      <c r="F243" s="3">
        <v>0.2</v>
      </c>
      <c r="G243" s="3">
        <v>0</v>
      </c>
      <c r="H243" s="3">
        <v>0</v>
      </c>
      <c r="I243" s="3">
        <v>40</v>
      </c>
      <c r="J243" s="3">
        <v>14</v>
      </c>
      <c r="K243" s="3">
        <v>0</v>
      </c>
      <c r="L243" s="3">
        <v>13</v>
      </c>
      <c r="M243" s="3">
        <v>3</v>
      </c>
      <c r="N243" s="3">
        <v>0.04</v>
      </c>
      <c r="O243" s="3">
        <v>0</v>
      </c>
      <c r="P243" s="3">
        <v>0.1</v>
      </c>
      <c r="Q243" s="3">
        <v>0.06</v>
      </c>
      <c r="R243" s="3">
        <v>0</v>
      </c>
    </row>
    <row r="244" spans="1:18" ht="20" x14ac:dyDescent="0.25">
      <c r="A244" s="5" t="s">
        <v>50</v>
      </c>
      <c r="B244" s="5" t="s">
        <v>51</v>
      </c>
      <c r="C244" s="3" t="s">
        <v>25</v>
      </c>
      <c r="D244" s="3">
        <v>0</v>
      </c>
      <c r="E244" s="3">
        <v>0</v>
      </c>
      <c r="F244" s="3">
        <v>0</v>
      </c>
      <c r="G244" s="3">
        <v>0</v>
      </c>
      <c r="H244" s="3">
        <v>0</v>
      </c>
      <c r="I244" s="3">
        <v>0</v>
      </c>
      <c r="J244" s="3">
        <v>0</v>
      </c>
      <c r="K244" s="3">
        <v>0</v>
      </c>
      <c r="L244" s="3">
        <v>0</v>
      </c>
      <c r="M244" s="3">
        <v>0</v>
      </c>
      <c r="N244" s="3">
        <v>0</v>
      </c>
      <c r="O244" s="3">
        <v>0</v>
      </c>
      <c r="P244" s="3">
        <v>0</v>
      </c>
      <c r="Q244" s="3">
        <v>0</v>
      </c>
      <c r="R244" s="3" t="s">
        <v>52</v>
      </c>
    </row>
    <row r="245" spans="1:18" ht="20" x14ac:dyDescent="0.25">
      <c r="A245" s="5" t="s">
        <v>50</v>
      </c>
      <c r="B245" s="5" t="s">
        <v>51</v>
      </c>
      <c r="C245" s="3" t="s">
        <v>26</v>
      </c>
      <c r="D245" s="3">
        <v>0</v>
      </c>
      <c r="E245" s="3">
        <v>0</v>
      </c>
      <c r="F245" s="3">
        <v>0</v>
      </c>
      <c r="G245" s="3">
        <v>0</v>
      </c>
      <c r="H245" s="3">
        <v>0</v>
      </c>
      <c r="I245" s="3">
        <v>0</v>
      </c>
      <c r="J245" s="3">
        <v>0</v>
      </c>
      <c r="K245" s="3">
        <v>0</v>
      </c>
      <c r="L245" s="3">
        <v>0</v>
      </c>
      <c r="M245" s="3">
        <v>0</v>
      </c>
      <c r="N245" s="3">
        <v>0</v>
      </c>
      <c r="O245" s="3">
        <v>0</v>
      </c>
      <c r="P245" s="3">
        <v>0</v>
      </c>
      <c r="Q245" s="3">
        <v>0</v>
      </c>
      <c r="R245" s="3" t="s">
        <v>52</v>
      </c>
    </row>
    <row r="246" spans="1:18" ht="20" x14ac:dyDescent="0.25">
      <c r="A246" s="5" t="s">
        <v>50</v>
      </c>
      <c r="B246" s="5" t="s">
        <v>51</v>
      </c>
      <c r="C246" s="3" t="s">
        <v>27</v>
      </c>
      <c r="D246" s="3">
        <v>0</v>
      </c>
      <c r="E246" s="3">
        <v>0</v>
      </c>
      <c r="F246" s="3">
        <v>0</v>
      </c>
      <c r="G246" s="3">
        <v>0</v>
      </c>
      <c r="H246" s="3">
        <v>0</v>
      </c>
      <c r="I246" s="3">
        <v>0</v>
      </c>
      <c r="J246" s="3">
        <v>0</v>
      </c>
      <c r="K246" s="3">
        <v>0</v>
      </c>
      <c r="L246" s="3">
        <v>0</v>
      </c>
      <c r="M246" s="3">
        <v>0</v>
      </c>
      <c r="N246" s="3">
        <v>0</v>
      </c>
      <c r="O246" s="3">
        <v>0</v>
      </c>
      <c r="P246" s="3">
        <v>0</v>
      </c>
      <c r="Q246" s="3">
        <v>0</v>
      </c>
      <c r="R246" s="3" t="s">
        <v>52</v>
      </c>
    </row>
    <row r="247" spans="1:18" ht="20" x14ac:dyDescent="0.25">
      <c r="A247" s="5" t="s">
        <v>50</v>
      </c>
      <c r="B247" s="5" t="s">
        <v>51</v>
      </c>
      <c r="C247" s="3" t="s">
        <v>28</v>
      </c>
      <c r="D247" s="3">
        <v>0</v>
      </c>
      <c r="E247" s="3">
        <v>0</v>
      </c>
      <c r="F247" s="3">
        <v>0</v>
      </c>
      <c r="G247" s="3">
        <v>0</v>
      </c>
      <c r="H247" s="3">
        <v>0</v>
      </c>
      <c r="I247" s="3">
        <v>0</v>
      </c>
      <c r="J247" s="3">
        <v>0</v>
      </c>
      <c r="K247" s="3">
        <v>0</v>
      </c>
      <c r="L247" s="3">
        <v>0</v>
      </c>
      <c r="M247" s="3">
        <v>0</v>
      </c>
      <c r="N247" s="3">
        <v>0</v>
      </c>
      <c r="O247" s="3">
        <v>0</v>
      </c>
      <c r="P247" s="3">
        <v>0</v>
      </c>
      <c r="Q247" s="3">
        <v>0</v>
      </c>
      <c r="R247" s="3" t="s">
        <v>52</v>
      </c>
    </row>
    <row r="248" spans="1:18" x14ac:dyDescent="0.25">
      <c r="A248" s="5">
        <f>COUNTA('Task 2'!A6:A247)</f>
        <v>242</v>
      </c>
      <c r="B248" s="5">
        <f>COUNTA('Task 2'!B6:B247)</f>
        <v>242</v>
      </c>
      <c r="C248" s="5">
        <f>COUNTA('Task 2'!C6:C247)</f>
        <v>242</v>
      </c>
      <c r="D248" s="5">
        <f>ROUND(AVERAGE('Task 2'!D6:D247),1)</f>
        <v>193.9</v>
      </c>
    </row>
  </sheetData>
  <mergeCells count="15">
    <mergeCell ref="A1:D1"/>
    <mergeCell ref="E1:I1"/>
    <mergeCell ref="J1:N1"/>
    <mergeCell ref="O1:R1"/>
    <mergeCell ref="U12:Z12"/>
    <mergeCell ref="U7:Z7"/>
    <mergeCell ref="U8:Z10"/>
    <mergeCell ref="A3:R3"/>
    <mergeCell ref="A2:XFD2"/>
    <mergeCell ref="A4:R4"/>
    <mergeCell ref="U18:Z18"/>
    <mergeCell ref="U15:Z15"/>
    <mergeCell ref="U14:Z14"/>
    <mergeCell ref="U13:Z13"/>
    <mergeCell ref="U11:Z11"/>
  </mergeCells>
  <conditionalFormatting sqref="D5:D247">
    <cfRule type="colorScale" priority="3">
      <colorScale>
        <cfvo type="min"/>
        <cfvo type="percentile" val="50"/>
        <cfvo type="max"/>
        <color rgb="FFF8696B"/>
        <color rgb="FFFFEB84"/>
        <color rgb="FF63BE7B"/>
      </colorScale>
    </cfRule>
  </conditionalFormatting>
  <conditionalFormatting sqref="L5:L247">
    <cfRule type="dataBar" priority="1">
      <dataBar>
        <cfvo type="min"/>
        <cfvo type="max"/>
        <color rgb="FF63C384"/>
      </dataBar>
      <extLst>
        <ext xmlns:x14="http://schemas.microsoft.com/office/spreadsheetml/2009/9/main" uri="{B025F937-C7B1-47D3-B67F-A62EFF666E3E}">
          <x14:id>{1256A90B-4F6D-F548-8B7D-6BBFF0A6096D}</x14:id>
        </ext>
      </extLst>
    </cfRule>
  </conditionalFormatting>
  <hyperlinks>
    <hyperlink ref="A1" r:id="rId1" location="Dashboard!A1" display="applewebdata://4A0D2699-9392-4FAD-BCD0-6C5503F54A17/ - Dashboard!A1" xr:uid="{CD5F9966-60AD-D542-9494-A8BE7C6D13E2}"/>
    <hyperlink ref="J1" location="'Task 3'!A1" display="Task 3" xr:uid="{0A76EA93-DECA-8348-B67C-E1F3973D0C61}"/>
    <hyperlink ref="O1" location="'Task 5'!A1" display="Task 5" xr:uid="{689D30E8-B82C-FD40-9074-D4481B1D9ECA}"/>
    <hyperlink ref="E1" location="'Task 1'!A1" display="Task 1" xr:uid="{095DB174-9487-094C-AC14-27D9657E947A}"/>
  </hyperlinks>
  <pageMargins left="0.7" right="0.7" top="0.75" bottom="0.75" header="0.3" footer="0.3"/>
  <drawing r:id="rId2"/>
  <tableParts count="3">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1256A90B-4F6D-F548-8B7D-6BBFF0A6096D}">
            <x14:dataBar minLength="0" maxLength="100" border="1" negativeBarBorderColorSameAsPositive="0">
              <x14:cfvo type="autoMin"/>
              <x14:cfvo type="autoMax"/>
              <x14:borderColor rgb="FF63C384"/>
              <x14:negativeFillColor rgb="FFFF0000"/>
              <x14:negativeBorderColor rgb="FFFF0000"/>
              <x14:axisColor rgb="FF000000"/>
            </x14:dataBar>
          </x14:cfRule>
          <xm:sqref>L5:L247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37AC-AEF1-9E45-B53E-026ABF8B6694}">
  <dimension ref="A1:D121"/>
  <sheetViews>
    <sheetView showGridLines="0" zoomScale="64" workbookViewId="0">
      <pane ySplit="1" topLeftCell="A2" activePane="bottomLeft" state="frozen"/>
      <selection pane="bottomLeft" activeCell="B1" sqref="B1"/>
    </sheetView>
  </sheetViews>
  <sheetFormatPr baseColWidth="10" defaultRowHeight="16" x14ac:dyDescent="0.2"/>
  <cols>
    <col min="1" max="1" width="70.83203125" customWidth="1"/>
    <col min="2" max="2" width="78" customWidth="1"/>
    <col min="3" max="4" width="70.83203125" customWidth="1"/>
  </cols>
  <sheetData>
    <row r="1" spans="1:4" ht="40" customHeight="1" x14ac:dyDescent="0.2">
      <c r="A1" s="40" t="s">
        <v>119</v>
      </c>
      <c r="B1" s="40" t="s">
        <v>122</v>
      </c>
      <c r="C1" s="40" t="s">
        <v>120</v>
      </c>
      <c r="D1" s="40" t="s">
        <v>121</v>
      </c>
    </row>
    <row r="2" spans="1:4" x14ac:dyDescent="0.2">
      <c r="A2" s="94"/>
      <c r="B2" s="94"/>
      <c r="C2" s="94"/>
      <c r="D2" s="94"/>
    </row>
    <row r="3" spans="1:4" ht="40" customHeight="1" x14ac:dyDescent="0.2">
      <c r="A3" s="95" t="s">
        <v>128</v>
      </c>
      <c r="B3" s="95"/>
      <c r="C3" s="95"/>
      <c r="D3" s="95"/>
    </row>
    <row r="5" spans="1:4" x14ac:dyDescent="0.2">
      <c r="C5" s="97" t="s">
        <v>129</v>
      </c>
    </row>
    <row r="6" spans="1:4" x14ac:dyDescent="0.2">
      <c r="C6" s="97"/>
    </row>
    <row r="7" spans="1:4" ht="102" customHeight="1" x14ac:dyDescent="0.2">
      <c r="C7" s="97"/>
    </row>
    <row r="8" spans="1:4" ht="16" customHeight="1" x14ac:dyDescent="0.2">
      <c r="C8" s="97"/>
    </row>
    <row r="9" spans="1:4" ht="16" customHeight="1" x14ac:dyDescent="0.2">
      <c r="C9" s="97"/>
    </row>
    <row r="10" spans="1:4" ht="16" customHeight="1" x14ac:dyDescent="0.2">
      <c r="C10" s="97"/>
    </row>
    <row r="11" spans="1:4" ht="16" customHeight="1" x14ac:dyDescent="0.2">
      <c r="C11" s="97"/>
    </row>
    <row r="12" spans="1:4" ht="16" customHeight="1" x14ac:dyDescent="0.2">
      <c r="C12" s="97"/>
    </row>
    <row r="13" spans="1:4" ht="16" customHeight="1" x14ac:dyDescent="0.2">
      <c r="C13" s="97"/>
    </row>
    <row r="14" spans="1:4" ht="16" customHeight="1" x14ac:dyDescent="0.2">
      <c r="C14" s="97"/>
    </row>
    <row r="15" spans="1:4" ht="16" customHeight="1" x14ac:dyDescent="0.2">
      <c r="C15" s="97"/>
    </row>
    <row r="16" spans="1:4" ht="16" customHeight="1" x14ac:dyDescent="0.2">
      <c r="C16" s="97"/>
    </row>
    <row r="17" spans="1:3" ht="16" customHeight="1" x14ac:dyDescent="0.2">
      <c r="C17" s="97"/>
    </row>
    <row r="18" spans="1:3" ht="16" customHeight="1" x14ac:dyDescent="0.2">
      <c r="C18" s="97"/>
    </row>
    <row r="19" spans="1:3" ht="16" customHeight="1" x14ac:dyDescent="0.2">
      <c r="C19" s="97"/>
    </row>
    <row r="20" spans="1:3" ht="16" customHeight="1" x14ac:dyDescent="0.2">
      <c r="C20" s="97"/>
    </row>
    <row r="21" spans="1:3" ht="16" customHeight="1" x14ac:dyDescent="0.2">
      <c r="C21" s="97"/>
    </row>
    <row r="22" spans="1:3" ht="16" customHeight="1" x14ac:dyDescent="0.2">
      <c r="C22" s="97"/>
    </row>
    <row r="23" spans="1:3" ht="16" customHeight="1" x14ac:dyDescent="0.2">
      <c r="C23" s="97"/>
    </row>
    <row r="24" spans="1:3" ht="16" customHeight="1" x14ac:dyDescent="0.2">
      <c r="C24" s="97"/>
    </row>
    <row r="25" spans="1:3" ht="16" customHeight="1" x14ac:dyDescent="0.2">
      <c r="C25" s="97"/>
    </row>
    <row r="27" spans="1:3" x14ac:dyDescent="0.2">
      <c r="A27" s="96" t="s">
        <v>134</v>
      </c>
      <c r="B27" s="96"/>
    </row>
    <row r="29" spans="1:3" x14ac:dyDescent="0.2">
      <c r="C29" s="97" t="s">
        <v>133</v>
      </c>
    </row>
    <row r="30" spans="1:3" x14ac:dyDescent="0.2">
      <c r="C30" s="97"/>
    </row>
    <row r="31" spans="1:3" ht="16" customHeight="1" x14ac:dyDescent="0.2">
      <c r="C31" s="97"/>
    </row>
    <row r="32" spans="1:3" ht="16" customHeight="1" x14ac:dyDescent="0.2">
      <c r="C32" s="97"/>
    </row>
    <row r="33" spans="3:3" ht="16" customHeight="1" x14ac:dyDescent="0.2">
      <c r="C33" s="97"/>
    </row>
    <row r="34" spans="3:3" ht="16" customHeight="1" x14ac:dyDescent="0.2">
      <c r="C34" s="97"/>
    </row>
    <row r="35" spans="3:3" ht="16" customHeight="1" x14ac:dyDescent="0.2">
      <c r="C35" s="97"/>
    </row>
    <row r="36" spans="3:3" ht="16" customHeight="1" x14ac:dyDescent="0.2">
      <c r="C36" s="97"/>
    </row>
    <row r="37" spans="3:3" ht="16" customHeight="1" x14ac:dyDescent="0.2">
      <c r="C37" s="97"/>
    </row>
    <row r="38" spans="3:3" ht="16" customHeight="1" x14ac:dyDescent="0.2">
      <c r="C38" s="97"/>
    </row>
    <row r="39" spans="3:3" ht="16" customHeight="1" x14ac:dyDescent="0.2">
      <c r="C39" s="97"/>
    </row>
    <row r="40" spans="3:3" ht="16" customHeight="1" x14ac:dyDescent="0.2">
      <c r="C40" s="97"/>
    </row>
    <row r="41" spans="3:3" ht="16" customHeight="1" x14ac:dyDescent="0.2">
      <c r="C41" s="97"/>
    </row>
    <row r="42" spans="3:3" ht="16" customHeight="1" x14ac:dyDescent="0.2">
      <c r="C42" s="97"/>
    </row>
    <row r="43" spans="3:3" ht="16" customHeight="1" x14ac:dyDescent="0.2">
      <c r="C43" s="97"/>
    </row>
    <row r="44" spans="3:3" ht="16" customHeight="1" x14ac:dyDescent="0.2">
      <c r="C44" s="97"/>
    </row>
    <row r="45" spans="3:3" ht="16" customHeight="1" x14ac:dyDescent="0.2">
      <c r="C45" s="97"/>
    </row>
    <row r="46" spans="3:3" ht="16" customHeight="1" x14ac:dyDescent="0.2">
      <c r="C46" s="97"/>
    </row>
    <row r="47" spans="3:3" ht="16" customHeight="1" x14ac:dyDescent="0.2">
      <c r="C47" s="97"/>
    </row>
    <row r="48" spans="3:3" ht="16" customHeight="1" x14ac:dyDescent="0.2">
      <c r="C48" s="97"/>
    </row>
    <row r="49" spans="1:3" ht="16" customHeight="1" x14ac:dyDescent="0.2">
      <c r="C49" s="97"/>
    </row>
    <row r="51" spans="1:3" x14ac:dyDescent="0.2">
      <c r="A51" s="96" t="s">
        <v>135</v>
      </c>
      <c r="B51" s="96"/>
    </row>
    <row r="54" spans="1:3" x14ac:dyDescent="0.2">
      <c r="C54" s="97" t="s">
        <v>130</v>
      </c>
    </row>
    <row r="55" spans="1:3" x14ac:dyDescent="0.2">
      <c r="C55" s="97"/>
    </row>
    <row r="56" spans="1:3" ht="16" customHeight="1" x14ac:dyDescent="0.2">
      <c r="C56" s="97"/>
    </row>
    <row r="57" spans="1:3" x14ac:dyDescent="0.2">
      <c r="C57" s="97"/>
    </row>
    <row r="58" spans="1:3" x14ac:dyDescent="0.2">
      <c r="C58" s="97"/>
    </row>
    <row r="59" spans="1:3" x14ac:dyDescent="0.2">
      <c r="C59" s="97"/>
    </row>
    <row r="60" spans="1:3" x14ac:dyDescent="0.2">
      <c r="C60" s="97"/>
    </row>
    <row r="61" spans="1:3" x14ac:dyDescent="0.2">
      <c r="C61" s="97"/>
    </row>
    <row r="62" spans="1:3" x14ac:dyDescent="0.2">
      <c r="C62" s="97"/>
    </row>
    <row r="63" spans="1:3" x14ac:dyDescent="0.2">
      <c r="C63" s="97"/>
    </row>
    <row r="64" spans="1:3" x14ac:dyDescent="0.2">
      <c r="C64" s="97"/>
    </row>
    <row r="65" spans="1:3" x14ac:dyDescent="0.2">
      <c r="C65" s="97"/>
    </row>
    <row r="66" spans="1:3" x14ac:dyDescent="0.2">
      <c r="C66" s="97"/>
    </row>
    <row r="67" spans="1:3" x14ac:dyDescent="0.2">
      <c r="C67" s="97"/>
    </row>
    <row r="68" spans="1:3" x14ac:dyDescent="0.2">
      <c r="C68" s="97"/>
    </row>
    <row r="69" spans="1:3" x14ac:dyDescent="0.2">
      <c r="C69" s="97"/>
    </row>
    <row r="70" spans="1:3" x14ac:dyDescent="0.2">
      <c r="C70" s="97"/>
    </row>
    <row r="71" spans="1:3" x14ac:dyDescent="0.2">
      <c r="C71" s="97"/>
    </row>
    <row r="73" spans="1:3" ht="16" customHeight="1" x14ac:dyDescent="0.2">
      <c r="A73" s="96" t="s">
        <v>136</v>
      </c>
      <c r="B73" s="96"/>
    </row>
    <row r="75" spans="1:3" x14ac:dyDescent="0.2">
      <c r="C75" s="97" t="s">
        <v>132</v>
      </c>
    </row>
    <row r="76" spans="1:3" x14ac:dyDescent="0.2">
      <c r="C76" s="97"/>
    </row>
    <row r="77" spans="1:3" x14ac:dyDescent="0.2">
      <c r="C77" s="97"/>
    </row>
    <row r="78" spans="1:3" x14ac:dyDescent="0.2">
      <c r="C78" s="97"/>
    </row>
    <row r="79" spans="1:3" x14ac:dyDescent="0.2">
      <c r="C79" s="97"/>
    </row>
    <row r="80" spans="1:3" x14ac:dyDescent="0.2">
      <c r="C80" s="97"/>
    </row>
    <row r="81" spans="1:3" x14ac:dyDescent="0.2">
      <c r="C81" s="97"/>
    </row>
    <row r="82" spans="1:3" x14ac:dyDescent="0.2">
      <c r="C82" s="97"/>
    </row>
    <row r="83" spans="1:3" x14ac:dyDescent="0.2">
      <c r="C83" s="97"/>
    </row>
    <row r="84" spans="1:3" x14ac:dyDescent="0.2">
      <c r="C84" s="97"/>
    </row>
    <row r="85" spans="1:3" x14ac:dyDescent="0.2">
      <c r="C85" s="97"/>
    </row>
    <row r="86" spans="1:3" x14ac:dyDescent="0.2">
      <c r="C86" s="97"/>
    </row>
    <row r="87" spans="1:3" x14ac:dyDescent="0.2">
      <c r="C87" s="97"/>
    </row>
    <row r="88" spans="1:3" x14ac:dyDescent="0.2">
      <c r="C88" s="97"/>
    </row>
    <row r="89" spans="1:3" x14ac:dyDescent="0.2">
      <c r="C89" s="97"/>
    </row>
    <row r="90" spans="1:3" x14ac:dyDescent="0.2">
      <c r="C90" s="97"/>
    </row>
    <row r="91" spans="1:3" x14ac:dyDescent="0.2">
      <c r="C91" s="97"/>
    </row>
    <row r="92" spans="1:3" x14ac:dyDescent="0.2">
      <c r="C92" s="97"/>
    </row>
    <row r="93" spans="1:3" x14ac:dyDescent="0.2">
      <c r="C93" s="97"/>
    </row>
    <row r="94" spans="1:3" x14ac:dyDescent="0.2">
      <c r="C94" s="97"/>
    </row>
    <row r="96" spans="1:3" x14ac:dyDescent="0.2">
      <c r="A96" s="96" t="s">
        <v>137</v>
      </c>
      <c r="B96" s="96"/>
    </row>
    <row r="97" spans="1:3" x14ac:dyDescent="0.2">
      <c r="A97" s="96"/>
      <c r="B97" s="96"/>
    </row>
    <row r="99" spans="1:3" x14ac:dyDescent="0.2">
      <c r="C99" s="97" t="s">
        <v>131</v>
      </c>
    </row>
    <row r="100" spans="1:3" x14ac:dyDescent="0.2">
      <c r="C100" s="97"/>
    </row>
    <row r="101" spans="1:3" x14ac:dyDescent="0.2">
      <c r="C101" s="97"/>
    </row>
    <row r="102" spans="1:3" x14ac:dyDescent="0.2">
      <c r="C102" s="97"/>
    </row>
    <row r="103" spans="1:3" x14ac:dyDescent="0.2">
      <c r="C103" s="97"/>
    </row>
    <row r="104" spans="1:3" x14ac:dyDescent="0.2">
      <c r="C104" s="97"/>
    </row>
    <row r="105" spans="1:3" x14ac:dyDescent="0.2">
      <c r="C105" s="97"/>
    </row>
    <row r="106" spans="1:3" x14ac:dyDescent="0.2">
      <c r="C106" s="97"/>
    </row>
    <row r="107" spans="1:3" x14ac:dyDescent="0.2">
      <c r="C107" s="97"/>
    </row>
    <row r="108" spans="1:3" x14ac:dyDescent="0.2">
      <c r="C108" s="97"/>
    </row>
    <row r="109" spans="1:3" x14ac:dyDescent="0.2">
      <c r="C109" s="97"/>
    </row>
    <row r="110" spans="1:3" x14ac:dyDescent="0.2">
      <c r="C110" s="97"/>
    </row>
    <row r="111" spans="1:3" x14ac:dyDescent="0.2">
      <c r="C111" s="97"/>
    </row>
    <row r="112" spans="1:3" x14ac:dyDescent="0.2">
      <c r="C112" s="97"/>
    </row>
    <row r="113" spans="1:3" x14ac:dyDescent="0.2">
      <c r="C113" s="97"/>
    </row>
    <row r="114" spans="1:3" x14ac:dyDescent="0.2">
      <c r="C114" s="97"/>
    </row>
    <row r="115" spans="1:3" x14ac:dyDescent="0.2">
      <c r="C115" s="97"/>
    </row>
    <row r="116" spans="1:3" x14ac:dyDescent="0.2">
      <c r="C116" s="97"/>
    </row>
    <row r="117" spans="1:3" x14ac:dyDescent="0.2">
      <c r="C117" s="97"/>
    </row>
    <row r="118" spans="1:3" x14ac:dyDescent="0.2">
      <c r="C118" s="97"/>
    </row>
    <row r="120" spans="1:3" x14ac:dyDescent="0.2">
      <c r="A120" s="96" t="s">
        <v>138</v>
      </c>
      <c r="B120" s="96"/>
    </row>
    <row r="121" spans="1:3" x14ac:dyDescent="0.2">
      <c r="A121" s="96"/>
      <c r="B121" s="96"/>
    </row>
  </sheetData>
  <mergeCells count="14">
    <mergeCell ref="A2:D2"/>
    <mergeCell ref="A3:D3"/>
    <mergeCell ref="A121:B121"/>
    <mergeCell ref="C5:C25"/>
    <mergeCell ref="C29:C49"/>
    <mergeCell ref="C54:C71"/>
    <mergeCell ref="C75:C94"/>
    <mergeCell ref="C99:C118"/>
    <mergeCell ref="A97:B97"/>
    <mergeCell ref="A120:B120"/>
    <mergeCell ref="A27:B27"/>
    <mergeCell ref="A51:B51"/>
    <mergeCell ref="A73:B73"/>
    <mergeCell ref="A96:B96"/>
  </mergeCells>
  <hyperlinks>
    <hyperlink ref="A1" r:id="rId1" location="Dashboard!A1" display="applewebdata://4A0D2699-9392-4FAD-BCD0-6C5503F54A17/ - Dashboard!A1" xr:uid="{260CCBAB-B259-0E41-916B-769971B228D8}"/>
    <hyperlink ref="C1" r:id="rId2" location="'Task%202'!A1" display="applewebdata://4A0D2699-9392-4FAD-BCD0-6C5503F54A17/ - 'Task%202'!A1" xr:uid="{AD5A58E3-71A9-AD43-8319-C6FCD4DB1E04}"/>
    <hyperlink ref="D1" r:id="rId3" location="'Task%205'!A1" display="applewebdata://4A0D2699-9392-4FAD-BCD0-6C5503F54A17/ - 'Task%205'!A1" xr:uid="{76D1F049-1065-D447-B381-B615FE97C340}"/>
    <hyperlink ref="B1" location="'Task 1'!A1" display="Task 1" xr:uid="{BD81C4AF-AC10-804C-B9F2-07DF18CD9734}"/>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C3707-2863-914D-BE81-D76DE3156E59}">
  <dimension ref="A1:G10"/>
  <sheetViews>
    <sheetView zoomScale="60" workbookViewId="0">
      <pane ySplit="1" topLeftCell="A2" activePane="bottomLeft" state="frozen"/>
      <selection pane="bottomLeft" activeCell="A6" sqref="A6:D6"/>
    </sheetView>
  </sheetViews>
  <sheetFormatPr baseColWidth="10" defaultColWidth="11.1640625" defaultRowHeight="16" x14ac:dyDescent="0.2"/>
  <cols>
    <col min="1" max="4" width="50.83203125" customWidth="1"/>
  </cols>
  <sheetData>
    <row r="1" spans="1:7" s="42" customFormat="1" ht="40" customHeight="1" x14ac:dyDescent="0.2">
      <c r="A1" s="41" t="s">
        <v>119</v>
      </c>
      <c r="B1" s="41" t="s">
        <v>123</v>
      </c>
      <c r="C1" s="41" t="s">
        <v>120</v>
      </c>
      <c r="D1" s="41" t="s">
        <v>142</v>
      </c>
    </row>
    <row r="2" spans="1:7" x14ac:dyDescent="0.2">
      <c r="A2" s="74"/>
      <c r="B2" s="74"/>
      <c r="C2" s="74"/>
      <c r="D2" s="39"/>
    </row>
    <row r="3" spans="1:7" ht="40" customHeight="1" x14ac:dyDescent="0.25">
      <c r="A3" s="101" t="s">
        <v>98</v>
      </c>
      <c r="B3" s="102"/>
      <c r="C3" s="102"/>
      <c r="D3" s="102"/>
      <c r="E3" s="38"/>
      <c r="F3" s="38"/>
      <c r="G3" s="38"/>
    </row>
    <row r="4" spans="1:7" x14ac:dyDescent="0.2">
      <c r="A4" s="74"/>
      <c r="B4" s="74"/>
      <c r="C4" s="74"/>
      <c r="D4" s="39"/>
    </row>
    <row r="5" spans="1:7" ht="22" customHeight="1" x14ac:dyDescent="0.3">
      <c r="A5" s="98" t="s">
        <v>99</v>
      </c>
      <c r="B5" s="99"/>
      <c r="C5" s="99"/>
      <c r="D5" s="99"/>
      <c r="E5" s="38"/>
      <c r="F5" s="38"/>
      <c r="G5" s="38"/>
    </row>
    <row r="6" spans="1:7" ht="147" customHeight="1" x14ac:dyDescent="0.2">
      <c r="A6" s="103" t="s">
        <v>139</v>
      </c>
      <c r="B6" s="103"/>
      <c r="C6" s="103"/>
      <c r="D6" s="103"/>
    </row>
    <row r="7" spans="1:7" ht="22" x14ac:dyDescent="0.3">
      <c r="A7" s="98" t="s">
        <v>100</v>
      </c>
      <c r="B7" s="99"/>
      <c r="C7" s="99"/>
      <c r="D7" s="99"/>
      <c r="E7" s="38"/>
      <c r="F7" s="38"/>
      <c r="G7" s="38"/>
    </row>
    <row r="8" spans="1:7" ht="164" customHeight="1" x14ac:dyDescent="0.2">
      <c r="A8" s="100" t="s">
        <v>140</v>
      </c>
      <c r="B8" s="100"/>
      <c r="C8" s="100"/>
      <c r="D8" s="100"/>
    </row>
    <row r="9" spans="1:7" ht="22" x14ac:dyDescent="0.3">
      <c r="A9" s="98" t="s">
        <v>101</v>
      </c>
      <c r="B9" s="99"/>
      <c r="C9" s="99"/>
      <c r="D9" s="99"/>
      <c r="E9" s="38"/>
      <c r="F9" s="38"/>
      <c r="G9" s="38"/>
    </row>
    <row r="10" spans="1:7" ht="139" customHeight="1" x14ac:dyDescent="0.2">
      <c r="A10" s="100" t="s">
        <v>141</v>
      </c>
      <c r="B10" s="100"/>
      <c r="C10" s="100"/>
      <c r="D10" s="100"/>
    </row>
  </sheetData>
  <mergeCells count="9">
    <mergeCell ref="A7:D7"/>
    <mergeCell ref="A9:D9"/>
    <mergeCell ref="A8:D8"/>
    <mergeCell ref="A10:D10"/>
    <mergeCell ref="A2:C2"/>
    <mergeCell ref="A4:C4"/>
    <mergeCell ref="A3:D3"/>
    <mergeCell ref="A6:D6"/>
    <mergeCell ref="A5:D5"/>
  </mergeCells>
  <hyperlinks>
    <hyperlink ref="A1" location="Dashboard!A1" display="Dashboard" xr:uid="{780A5FFC-CCFB-7A41-9891-CAD6CF4CBE07}"/>
    <hyperlink ref="B1" location="'Task 1'!A1" display="Task1" xr:uid="{E88367A8-DE83-7345-A268-82CE1F2D722B}"/>
    <hyperlink ref="C1" location="'Task 2'!A1" display="Task 2" xr:uid="{74E02874-96CA-C44A-8AC4-A76B5AB59F24}"/>
    <hyperlink ref="D1" location="'Task 3'!A1" display="Task 3" xr:uid="{EF030100-9E0C-D442-8793-1ADC686D8705}"/>
  </hyperlink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BF771B-DEFF-0A45-9F55-0A182DDE95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Dashboard</vt:lpstr>
      <vt:lpstr>Task 1</vt:lpstr>
      <vt:lpstr>Task 2</vt:lpstr>
      <vt:lpstr>Task 3</vt:lpstr>
      <vt:lpstr>Task 5</vt:lpstr>
      <vt:lpstr>Breakdown_Section</vt:lpstr>
      <vt:lpstr>Charts_Section</vt:lpstr>
      <vt:lpstr>KPI_Section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Varthini Maniraj</dc:creator>
  <cp:lastModifiedBy>Harsha Varthini Maniraj</cp:lastModifiedBy>
  <dcterms:created xsi:type="dcterms:W3CDTF">2026-04-25T07:34:26Z</dcterms:created>
  <dcterms:modified xsi:type="dcterms:W3CDTF">2026-04-28T12:45:50Z</dcterms:modified>
</cp:coreProperties>
</file>